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800" firstSheet="3" activeTab="5"/>
  </bookViews>
  <sheets>
    <sheet name="MAIN DATA" sheetId="1" r:id="rId1"/>
    <sheet name="ANSWER 1" sheetId="2" r:id="rId2"/>
    <sheet name="ANSWER 2" sheetId="3" r:id="rId3"/>
    <sheet name="ANSWER 3" sheetId="4" r:id="rId4"/>
    <sheet name="ANSWER 4" sheetId="5" r:id="rId5"/>
    <sheet name="ANSWER 5" sheetId="10" r:id="rId6"/>
  </sheets>
  <definedNames>
    <definedName name="_xlnm._FilterDatabase" localSheetId="2" hidden="1">'ANSWER 2'!$A$1:$E$125</definedName>
    <definedName name="_xlnm._FilterDatabase" localSheetId="0" hidden="1">'MAIN DATA'!$A$1:$AG$373</definedName>
    <definedName name="All_India_Index_Upto_April23__1" localSheetId="0">'MAIN DATA'!$A$1:$AA$373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0" l="1"/>
  <c r="Q6" i="10"/>
  <c r="Q5" i="10"/>
  <c r="Q4" i="10"/>
  <c r="Q3" i="10"/>
  <c r="K4" i="10"/>
  <c r="L4" i="10"/>
  <c r="M4" i="10"/>
  <c r="N4" i="10"/>
  <c r="O4" i="10"/>
  <c r="K5" i="10"/>
  <c r="L5" i="10"/>
  <c r="M5" i="10"/>
  <c r="N5" i="10"/>
  <c r="O5" i="10"/>
  <c r="K6" i="10"/>
  <c r="L6" i="10"/>
  <c r="M6" i="10"/>
  <c r="N6" i="10"/>
  <c r="O6" i="10"/>
  <c r="K7" i="10"/>
  <c r="L7" i="10"/>
  <c r="M7" i="10"/>
  <c r="N7" i="10"/>
  <c r="O7" i="10"/>
  <c r="K8" i="10"/>
  <c r="L8" i="10"/>
  <c r="M8" i="10"/>
  <c r="N8" i="10"/>
  <c r="O8" i="10"/>
  <c r="K9" i="10"/>
  <c r="L9" i="10"/>
  <c r="M9" i="10"/>
  <c r="N9" i="10"/>
  <c r="O9" i="10"/>
  <c r="K10" i="10"/>
  <c r="L10" i="10"/>
  <c r="M10" i="10"/>
  <c r="N10" i="10"/>
  <c r="O10" i="10"/>
  <c r="K11" i="10"/>
  <c r="L11" i="10"/>
  <c r="M11" i="10"/>
  <c r="N11" i="10"/>
  <c r="O11" i="10"/>
  <c r="K12" i="10"/>
  <c r="L12" i="10"/>
  <c r="M12" i="10"/>
  <c r="N12" i="10"/>
  <c r="O12" i="10"/>
  <c r="K13" i="10"/>
  <c r="L13" i="10"/>
  <c r="M13" i="10"/>
  <c r="N13" i="10"/>
  <c r="O13" i="10"/>
  <c r="K14" i="10"/>
  <c r="L14" i="10"/>
  <c r="M14" i="10"/>
  <c r="N14" i="10"/>
  <c r="O14" i="10"/>
  <c r="K15" i="10"/>
  <c r="L15" i="10"/>
  <c r="M15" i="10"/>
  <c r="N15" i="10"/>
  <c r="O15" i="10"/>
  <c r="K16" i="10"/>
  <c r="L16" i="10"/>
  <c r="M16" i="10"/>
  <c r="N16" i="10"/>
  <c r="O16" i="10"/>
  <c r="K17" i="10"/>
  <c r="L17" i="10"/>
  <c r="M17" i="10"/>
  <c r="N17" i="10"/>
  <c r="O17" i="10"/>
  <c r="K18" i="10"/>
  <c r="L18" i="10"/>
  <c r="M18" i="10"/>
  <c r="N18" i="10"/>
  <c r="O18" i="10"/>
  <c r="K19" i="10"/>
  <c r="L19" i="10"/>
  <c r="M19" i="10"/>
  <c r="N19" i="10"/>
  <c r="O19" i="10"/>
  <c r="K20" i="10"/>
  <c r="L20" i="10"/>
  <c r="M20" i="10"/>
  <c r="N20" i="10"/>
  <c r="O20" i="10"/>
  <c r="K21" i="10"/>
  <c r="L21" i="10"/>
  <c r="M21" i="10"/>
  <c r="N21" i="10"/>
  <c r="O21" i="10"/>
  <c r="K22" i="10"/>
  <c r="L22" i="10"/>
  <c r="M22" i="10"/>
  <c r="N22" i="10"/>
  <c r="O22" i="10"/>
  <c r="K23" i="10"/>
  <c r="L23" i="10"/>
  <c r="M23" i="10"/>
  <c r="N23" i="10"/>
  <c r="O23" i="10"/>
  <c r="K24" i="10"/>
  <c r="L24" i="10"/>
  <c r="M24" i="10"/>
  <c r="N24" i="10"/>
  <c r="O24" i="10"/>
  <c r="K25" i="10"/>
  <c r="L25" i="10"/>
  <c r="M25" i="10"/>
  <c r="N25" i="10"/>
  <c r="O25" i="10"/>
  <c r="K26" i="10"/>
  <c r="L26" i="10"/>
  <c r="M26" i="10"/>
  <c r="N26" i="10"/>
  <c r="O26" i="10"/>
  <c r="K27" i="10"/>
  <c r="L27" i="10"/>
  <c r="M27" i="10"/>
  <c r="N27" i="10"/>
  <c r="O27" i="10"/>
  <c r="K28" i="10"/>
  <c r="L28" i="10"/>
  <c r="M28" i="10"/>
  <c r="N28" i="10"/>
  <c r="O28" i="10"/>
  <c r="K29" i="10"/>
  <c r="L29" i="10"/>
  <c r="M29" i="10"/>
  <c r="N29" i="10"/>
  <c r="O29" i="10"/>
  <c r="K30" i="10"/>
  <c r="L30" i="10"/>
  <c r="M30" i="10"/>
  <c r="N30" i="10"/>
  <c r="O30" i="10"/>
  <c r="L3" i="10"/>
  <c r="M3" i="10"/>
  <c r="N3" i="10"/>
  <c r="O3" i="10"/>
  <c r="K3" i="10"/>
  <c r="J4" i="10"/>
  <c r="J5" i="10"/>
  <c r="J6" i="10"/>
  <c r="J7" i="10"/>
  <c r="J8" i="10"/>
  <c r="J9" i="10"/>
  <c r="J10" i="10"/>
  <c r="J11" i="10"/>
  <c r="J12" i="10"/>
  <c r="J13" i="10"/>
  <c r="J14" i="10"/>
  <c r="J15" i="10"/>
  <c r="J16" i="10"/>
  <c r="J17" i="10"/>
  <c r="J18" i="10"/>
  <c r="J19" i="10"/>
  <c r="J20" i="10"/>
  <c r="J21" i="10"/>
  <c r="J22" i="10"/>
  <c r="J23" i="10"/>
  <c r="J24" i="10"/>
  <c r="J25" i="10"/>
  <c r="J26" i="10"/>
  <c r="J27" i="10"/>
  <c r="J28" i="10"/>
  <c r="J29" i="10"/>
  <c r="J30" i="10"/>
  <c r="J3" i="10"/>
  <c r="I3" i="5"/>
  <c r="J3" i="5"/>
  <c r="H3" i="5"/>
  <c r="I2" i="5"/>
  <c r="J2" i="5"/>
  <c r="H2" i="5"/>
  <c r="E32" i="4" l="1"/>
  <c r="F32" i="4"/>
  <c r="G32" i="4"/>
  <c r="H32" i="4"/>
  <c r="I32" i="4"/>
  <c r="J32" i="4"/>
  <c r="K32" i="4"/>
  <c r="L32" i="4"/>
  <c r="M32" i="4"/>
  <c r="N32" i="4"/>
  <c r="O32" i="4"/>
  <c r="D32" i="4"/>
  <c r="E4" i="4"/>
  <c r="E5" i="4"/>
  <c r="E6" i="4"/>
  <c r="E7" i="4"/>
  <c r="E8" i="4"/>
  <c r="E9" i="4"/>
  <c r="E10" i="4"/>
  <c r="E11" i="4"/>
  <c r="E12" i="4"/>
  <c r="E13" i="4"/>
  <c r="E14" i="4"/>
  <c r="E3" i="4"/>
  <c r="E15" i="3" l="1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4" i="3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2" i="1"/>
  <c r="AD265" i="1"/>
  <c r="AD264" i="1"/>
  <c r="AD263" i="1"/>
  <c r="AC265" i="1"/>
  <c r="AC264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2" i="1"/>
  <c r="AA265" i="1"/>
  <c r="Z265" i="1"/>
  <c r="Y265" i="1"/>
  <c r="X265" i="1"/>
  <c r="AA262" i="1"/>
  <c r="Z262" i="1"/>
  <c r="Y262" i="1"/>
  <c r="X262" i="1"/>
  <c r="W265" i="1"/>
  <c r="W262" i="1"/>
  <c r="U265" i="1"/>
  <c r="U262" i="1"/>
  <c r="V265" i="1"/>
  <c r="T265" i="1"/>
  <c r="S265" i="1"/>
  <c r="R265" i="1"/>
  <c r="Q265" i="1"/>
  <c r="R262" i="1"/>
  <c r="Q262" i="1"/>
  <c r="P265" i="1"/>
  <c r="P262" i="1"/>
  <c r="O265" i="1"/>
  <c r="O262" i="1"/>
  <c r="G265" i="1"/>
  <c r="H265" i="1"/>
  <c r="I265" i="1"/>
  <c r="J265" i="1"/>
  <c r="K265" i="1"/>
  <c r="L265" i="1"/>
  <c r="M265" i="1"/>
  <c r="N265" i="1"/>
  <c r="F265" i="1"/>
  <c r="E265" i="1"/>
  <c r="E262" i="1"/>
  <c r="D265" i="1"/>
  <c r="AG239" i="1" l="1"/>
  <c r="AG235" i="1"/>
  <c r="AG231" i="1"/>
  <c r="AG227" i="1"/>
  <c r="AG223" i="1"/>
  <c r="AG219" i="1"/>
  <c r="AG215" i="1"/>
  <c r="AG211" i="1"/>
  <c r="AG207" i="1"/>
  <c r="AG203" i="1"/>
  <c r="AG199" i="1"/>
  <c r="AG195" i="1"/>
  <c r="AG191" i="1"/>
  <c r="AG187" i="1"/>
  <c r="AG183" i="1"/>
  <c r="AG179" i="1"/>
  <c r="AG175" i="1"/>
  <c r="AG171" i="1"/>
  <c r="AG167" i="1"/>
  <c r="AG163" i="1"/>
  <c r="AG159" i="1"/>
  <c r="AG155" i="1"/>
  <c r="AG151" i="1"/>
  <c r="AG147" i="1"/>
  <c r="AG143" i="1"/>
  <c r="AG139" i="1"/>
  <c r="AG135" i="1"/>
  <c r="AG131" i="1"/>
  <c r="AG127" i="1"/>
  <c r="AG123" i="1"/>
  <c r="AG119" i="1"/>
  <c r="AG115" i="1"/>
  <c r="AG111" i="1"/>
  <c r="AG107" i="1"/>
  <c r="AG103" i="1"/>
  <c r="AG99" i="1"/>
  <c r="AG259" i="1"/>
  <c r="AG255" i="1"/>
  <c r="AG251" i="1"/>
  <c r="AG247" i="1"/>
  <c r="AG243" i="1"/>
  <c r="AG95" i="1"/>
  <c r="AG91" i="1"/>
  <c r="AG87" i="1"/>
  <c r="AG83" i="1"/>
  <c r="AG79" i="1"/>
  <c r="AG75" i="1"/>
  <c r="AG71" i="1"/>
  <c r="AG67" i="1"/>
  <c r="AG63" i="1"/>
  <c r="AG59" i="1"/>
  <c r="AG55" i="1"/>
  <c r="AG51" i="1"/>
  <c r="AG47" i="1"/>
  <c r="AG43" i="1"/>
  <c r="AG39" i="1"/>
  <c r="AG35" i="1"/>
  <c r="AG31" i="1"/>
  <c r="AG27" i="1"/>
  <c r="AG23" i="1"/>
  <c r="AG19" i="1"/>
  <c r="AG15" i="1"/>
  <c r="AG11" i="1"/>
  <c r="AG7" i="1"/>
  <c r="AG3" i="1"/>
  <c r="AG350" i="1"/>
  <c r="AB262" i="1"/>
  <c r="AE265" i="1"/>
  <c r="AG2" i="1"/>
  <c r="AG370" i="1"/>
  <c r="AG366" i="1"/>
  <c r="AG362" i="1"/>
  <c r="AG358" i="1"/>
  <c r="AG354" i="1"/>
  <c r="AF262" i="1"/>
  <c r="AG372" i="1"/>
  <c r="AG368" i="1"/>
  <c r="AG364" i="1"/>
  <c r="AG360" i="1"/>
  <c r="AG356" i="1"/>
  <c r="AG352" i="1"/>
  <c r="AG348" i="1"/>
  <c r="AG346" i="1"/>
  <c r="AG342" i="1"/>
  <c r="AG338" i="1"/>
  <c r="AG334" i="1"/>
  <c r="AG330" i="1"/>
  <c r="AG326" i="1"/>
  <c r="AG322" i="1"/>
  <c r="AG318" i="1"/>
  <c r="AG314" i="1"/>
  <c r="AG310" i="1"/>
  <c r="AG306" i="1"/>
  <c r="AG302" i="1"/>
  <c r="AG298" i="1"/>
  <c r="AG294" i="1"/>
  <c r="AG290" i="1"/>
  <c r="AG286" i="1"/>
  <c r="AG282" i="1"/>
  <c r="AG278" i="1"/>
  <c r="AG274" i="1"/>
  <c r="AG270" i="1"/>
  <c r="AG266" i="1"/>
  <c r="AG256" i="1"/>
  <c r="AG252" i="1"/>
  <c r="AG248" i="1"/>
  <c r="AG244" i="1"/>
  <c r="AG240" i="1"/>
  <c r="AG236" i="1"/>
  <c r="AG232" i="1"/>
  <c r="AG228" i="1"/>
  <c r="AG224" i="1"/>
  <c r="AG220" i="1"/>
  <c r="AG216" i="1"/>
  <c r="AG212" i="1"/>
  <c r="AG208" i="1"/>
  <c r="AG204" i="1"/>
  <c r="AG200" i="1"/>
  <c r="AG196" i="1"/>
  <c r="AG192" i="1"/>
  <c r="AG188" i="1"/>
  <c r="AG184" i="1"/>
  <c r="AG180" i="1"/>
  <c r="AG176" i="1"/>
  <c r="AG172" i="1"/>
  <c r="AG168" i="1"/>
  <c r="AG164" i="1"/>
  <c r="AG160" i="1"/>
  <c r="AG156" i="1"/>
  <c r="AG152" i="1"/>
  <c r="AG148" i="1"/>
  <c r="AG144" i="1"/>
  <c r="AG140" i="1"/>
  <c r="AG136" i="1"/>
  <c r="AG132" i="1"/>
  <c r="AG128" i="1"/>
  <c r="AG124" i="1"/>
  <c r="AG120" i="1"/>
  <c r="AG116" i="1"/>
  <c r="AG112" i="1"/>
  <c r="AG108" i="1"/>
  <c r="AG104" i="1"/>
  <c r="AG100" i="1"/>
  <c r="AG96" i="1"/>
  <c r="AG92" i="1"/>
  <c r="AG88" i="1"/>
  <c r="AG84" i="1"/>
  <c r="AG80" i="1"/>
  <c r="AG76" i="1"/>
  <c r="AG72" i="1"/>
  <c r="AG68" i="1"/>
  <c r="AG64" i="1"/>
  <c r="AG60" i="1"/>
  <c r="AG56" i="1"/>
  <c r="AG52" i="1"/>
  <c r="AG48" i="1"/>
  <c r="AG44" i="1"/>
  <c r="AG40" i="1"/>
  <c r="AG36" i="1"/>
  <c r="AG32" i="1"/>
  <c r="AG28" i="1"/>
  <c r="AG24" i="1"/>
  <c r="AG20" i="1"/>
  <c r="AG16" i="1"/>
  <c r="AG12" i="1"/>
  <c r="AG8" i="1"/>
  <c r="AG4" i="1"/>
  <c r="AG344" i="1"/>
  <c r="AG340" i="1"/>
  <c r="AG336" i="1"/>
  <c r="AG332" i="1"/>
  <c r="AG328" i="1"/>
  <c r="AG324" i="1"/>
  <c r="AG320" i="1"/>
  <c r="AG316" i="1"/>
  <c r="AG312" i="1"/>
  <c r="AG308" i="1"/>
  <c r="AG304" i="1"/>
  <c r="AG300" i="1"/>
  <c r="AG296" i="1"/>
  <c r="AG292" i="1"/>
  <c r="AG288" i="1"/>
  <c r="AG284" i="1"/>
  <c r="AG280" i="1"/>
  <c r="AG276" i="1"/>
  <c r="AG272" i="1"/>
  <c r="AG268" i="1"/>
  <c r="AG258" i="1"/>
  <c r="AG254" i="1"/>
  <c r="AG250" i="1"/>
  <c r="AG246" i="1"/>
  <c r="AG242" i="1"/>
  <c r="AG238" i="1"/>
  <c r="AG234" i="1"/>
  <c r="AG230" i="1"/>
  <c r="AG226" i="1"/>
  <c r="AG222" i="1"/>
  <c r="AG218" i="1"/>
  <c r="AG214" i="1"/>
  <c r="AG210" i="1"/>
  <c r="AG206" i="1"/>
  <c r="AG202" i="1"/>
  <c r="AG198" i="1"/>
  <c r="AG194" i="1"/>
  <c r="AG190" i="1"/>
  <c r="AG186" i="1"/>
  <c r="AG182" i="1"/>
  <c r="AG178" i="1"/>
  <c r="AG174" i="1"/>
  <c r="AG170" i="1"/>
  <c r="AG166" i="1"/>
  <c r="AG162" i="1"/>
  <c r="AG158" i="1"/>
  <c r="AG154" i="1"/>
  <c r="AG150" i="1"/>
  <c r="AG146" i="1"/>
  <c r="AG142" i="1"/>
  <c r="AG138" i="1"/>
  <c r="AG134" i="1"/>
  <c r="AG130" i="1"/>
  <c r="AG126" i="1"/>
  <c r="AG122" i="1"/>
  <c r="AG118" i="1"/>
  <c r="AG114" i="1"/>
  <c r="AG110" i="1"/>
  <c r="AG106" i="1"/>
  <c r="AG102" i="1"/>
  <c r="AG98" i="1"/>
  <c r="AG94" i="1"/>
  <c r="AG90" i="1"/>
  <c r="AG86" i="1"/>
  <c r="AG82" i="1"/>
  <c r="AG78" i="1"/>
  <c r="AG74" i="1"/>
  <c r="AG70" i="1"/>
  <c r="AG66" i="1"/>
  <c r="AG62" i="1"/>
  <c r="AG58" i="1"/>
  <c r="AG54" i="1"/>
  <c r="AG50" i="1"/>
  <c r="AG46" i="1"/>
  <c r="AG42" i="1"/>
  <c r="AG38" i="1"/>
  <c r="AG34" i="1"/>
  <c r="AG30" i="1"/>
  <c r="AG26" i="1"/>
  <c r="AG22" i="1"/>
  <c r="AG18" i="1"/>
  <c r="AG14" i="1"/>
  <c r="AG10" i="1"/>
  <c r="AG6" i="1"/>
  <c r="AB265" i="1"/>
  <c r="AE262" i="1"/>
  <c r="AG373" i="1"/>
  <c r="AG369" i="1"/>
  <c r="AG365" i="1"/>
  <c r="AG361" i="1"/>
  <c r="AG357" i="1"/>
  <c r="AG353" i="1"/>
  <c r="AG349" i="1"/>
  <c r="AG345" i="1"/>
  <c r="AF265" i="1"/>
  <c r="AG371" i="1"/>
  <c r="AG367" i="1"/>
  <c r="AG363" i="1"/>
  <c r="AG359" i="1"/>
  <c r="AG355" i="1"/>
  <c r="AG351" i="1"/>
  <c r="AG347" i="1"/>
  <c r="AG343" i="1"/>
  <c r="AG339" i="1"/>
  <c r="AG335" i="1"/>
  <c r="AG331" i="1"/>
  <c r="AG327" i="1"/>
  <c r="AG323" i="1"/>
  <c r="AG319" i="1"/>
  <c r="AG315" i="1"/>
  <c r="AG311" i="1"/>
  <c r="AG307" i="1"/>
  <c r="AG303" i="1"/>
  <c r="AG299" i="1"/>
  <c r="AG295" i="1"/>
  <c r="AG291" i="1"/>
  <c r="AG287" i="1"/>
  <c r="AG283" i="1"/>
  <c r="AG279" i="1"/>
  <c r="AG275" i="1"/>
  <c r="AG271" i="1"/>
  <c r="AG267" i="1"/>
  <c r="AG341" i="1"/>
  <c r="AG337" i="1"/>
  <c r="AG333" i="1"/>
  <c r="AG329" i="1"/>
  <c r="AG325" i="1"/>
  <c r="AG321" i="1"/>
  <c r="AG317" i="1"/>
  <c r="AG313" i="1"/>
  <c r="AG309" i="1"/>
  <c r="AG305" i="1"/>
  <c r="AG301" i="1"/>
  <c r="AG297" i="1"/>
  <c r="AG293" i="1"/>
  <c r="AG289" i="1"/>
  <c r="AG285" i="1"/>
  <c r="AG281" i="1"/>
  <c r="AG277" i="1"/>
  <c r="AG273" i="1"/>
  <c r="AG269" i="1"/>
  <c r="AG257" i="1"/>
  <c r="AG253" i="1"/>
  <c r="AG249" i="1"/>
  <c r="AG245" i="1"/>
  <c r="AG241" i="1"/>
  <c r="AG237" i="1"/>
  <c r="AG233" i="1"/>
  <c r="AG229" i="1"/>
  <c r="AG225" i="1"/>
  <c r="AG221" i="1"/>
  <c r="AG217" i="1"/>
  <c r="AG213" i="1"/>
  <c r="AG209" i="1"/>
  <c r="AG205" i="1"/>
  <c r="AG201" i="1"/>
  <c r="AG197" i="1"/>
  <c r="AG193" i="1"/>
  <c r="AG189" i="1"/>
  <c r="AG185" i="1"/>
  <c r="AG181" i="1"/>
  <c r="AG177" i="1"/>
  <c r="AG173" i="1"/>
  <c r="AG169" i="1"/>
  <c r="AG165" i="1"/>
  <c r="AG161" i="1"/>
  <c r="AG157" i="1"/>
  <c r="AG153" i="1"/>
  <c r="AG149" i="1"/>
  <c r="AG145" i="1"/>
  <c r="AG141" i="1"/>
  <c r="AG137" i="1"/>
  <c r="AG133" i="1"/>
  <c r="AG129" i="1"/>
  <c r="AG125" i="1"/>
  <c r="AG121" i="1"/>
  <c r="AG117" i="1"/>
  <c r="AG113" i="1"/>
  <c r="AG109" i="1"/>
  <c r="AG105" i="1"/>
  <c r="AG101" i="1"/>
  <c r="AG97" i="1"/>
  <c r="AG93" i="1"/>
  <c r="AG89" i="1"/>
  <c r="AG85" i="1"/>
  <c r="AG81" i="1"/>
  <c r="AG77" i="1"/>
  <c r="AG73" i="1"/>
  <c r="AG69" i="1"/>
  <c r="AG65" i="1"/>
  <c r="AG61" i="1"/>
  <c r="AG57" i="1"/>
  <c r="AG53" i="1"/>
  <c r="AG49" i="1"/>
  <c r="AG45" i="1"/>
  <c r="AG41" i="1"/>
  <c r="AG37" i="1"/>
  <c r="AG33" i="1"/>
  <c r="AG29" i="1"/>
  <c r="AG25" i="1"/>
  <c r="AG21" i="1"/>
  <c r="AG17" i="1"/>
  <c r="AG13" i="1"/>
  <c r="AG9" i="1"/>
  <c r="AG5" i="1"/>
  <c r="V264" i="1"/>
  <c r="U264" i="1"/>
  <c r="U261" i="1"/>
  <c r="T264" i="1"/>
  <c r="S264" i="1"/>
  <c r="R264" i="1"/>
  <c r="Q264" i="1"/>
  <c r="R261" i="1"/>
  <c r="Q261" i="1"/>
  <c r="P264" i="1"/>
  <c r="P261" i="1"/>
  <c r="AA264" i="1"/>
  <c r="Z264" i="1"/>
  <c r="Y264" i="1"/>
  <c r="X264" i="1"/>
  <c r="AA261" i="1"/>
  <c r="Z261" i="1"/>
  <c r="Y261" i="1"/>
  <c r="X261" i="1"/>
  <c r="W264" i="1"/>
  <c r="W261" i="1"/>
  <c r="O264" i="1"/>
  <c r="O261" i="1"/>
  <c r="G264" i="1"/>
  <c r="H264" i="1"/>
  <c r="I264" i="1"/>
  <c r="J264" i="1"/>
  <c r="K264" i="1"/>
  <c r="L264" i="1"/>
  <c r="M264" i="1"/>
  <c r="N264" i="1"/>
  <c r="F264" i="1"/>
  <c r="E264" i="1"/>
  <c r="E261" i="1"/>
  <c r="D264" i="1"/>
  <c r="AA263" i="1"/>
  <c r="Z263" i="1"/>
  <c r="Y263" i="1"/>
  <c r="X263" i="1"/>
  <c r="AA260" i="1"/>
  <c r="Z260" i="1"/>
  <c r="Y260" i="1"/>
  <c r="X260" i="1"/>
  <c r="W260" i="1"/>
  <c r="U263" i="1"/>
  <c r="U260" i="1"/>
  <c r="V263" i="1"/>
  <c r="T263" i="1"/>
  <c r="R263" i="1"/>
  <c r="Q263" i="1"/>
  <c r="R260" i="1"/>
  <c r="Q260" i="1"/>
  <c r="P263" i="1"/>
  <c r="P260" i="1"/>
  <c r="O263" i="1"/>
  <c r="O260" i="1"/>
  <c r="G263" i="1"/>
  <c r="H263" i="1"/>
  <c r="I263" i="1"/>
  <c r="J263" i="1"/>
  <c r="K263" i="1"/>
  <c r="L263" i="1"/>
  <c r="M263" i="1"/>
  <c r="N263" i="1"/>
  <c r="F263" i="1"/>
  <c r="E263" i="1"/>
  <c r="E260" i="1"/>
  <c r="D263" i="1"/>
  <c r="AG262" i="1" l="1"/>
  <c r="AE263" i="1"/>
  <c r="D8" i="2"/>
  <c r="D7" i="2"/>
  <c r="D10" i="2"/>
  <c r="D6" i="2"/>
  <c r="AE260" i="1"/>
  <c r="D9" i="2"/>
  <c r="AB263" i="1"/>
  <c r="AE264" i="1"/>
  <c r="AG265" i="1"/>
  <c r="AB264" i="1"/>
  <c r="AF260" i="1"/>
  <c r="AB261" i="1"/>
  <c r="AF264" i="1"/>
  <c r="AB260" i="1"/>
  <c r="AF261" i="1"/>
  <c r="AF263" i="1"/>
  <c r="AE261" i="1"/>
  <c r="AG263" i="1" l="1"/>
  <c r="AG260" i="1"/>
  <c r="AG261" i="1"/>
  <c r="AG264" i="1"/>
</calcChain>
</file>

<file path=xl/connections.xml><?xml version="1.0" encoding="utf-8"?>
<connections xmlns="http://schemas.openxmlformats.org/spreadsheetml/2006/main">
  <connection id="1" name="All_India_Index_Upto_April23 (1)" type="6" refreshedVersion="6" background="1" saveData="1">
    <textPr codePage="850" sourceFile="C:\Users\ADMIN\Downloads\All_India_Index_Upto_April23 (1).csv" comma="1">
      <textFields count="3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<sst xmlns="http://schemas.openxmlformats.org/spreadsheetml/2006/main" count="1282" uniqueCount="91">
  <si>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</si>
  <si>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</si>
  <si>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</si>
  <si>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</si>
  <si>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</si>
  <si>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</si>
  <si>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</si>
  <si>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</si>
  <si>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</si>
  <si>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</si>
  <si>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</si>
  <si>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</si>
  <si>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</si>
  <si>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</si>
  <si>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</si>
  <si>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Pan, tobacco and intoxicants</t>
  </si>
  <si>
    <t>Clothing</t>
  </si>
  <si>
    <t>Footwear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</si>
  <si>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</si>
  <si>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</si>
  <si>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</si>
  <si>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</si>
  <si>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</si>
  <si>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</si>
  <si>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</si>
  <si>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</si>
  <si>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</si>
  <si>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</si>
  <si>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</si>
  <si>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</si>
  <si>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</si>
  <si>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</si>
  <si>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</si>
  <si>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</si>
  <si>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</si>
  <si>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</si>
  <si>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</si>
  <si>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</si>
  <si>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</si>
  <si>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</si>
  <si>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</si>
  <si>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</si>
  <si>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HOUSING</t>
  </si>
  <si>
    <t>FOOD AND BEVERAGES</t>
  </si>
  <si>
    <t>FUEL AND LIGHT</t>
  </si>
  <si>
    <t>CLOTHING AND FOOTWEAR</t>
  </si>
  <si>
    <t>MISCELLANEOUS</t>
  </si>
  <si>
    <t>TOTAL EQUAL BASKET</t>
  </si>
  <si>
    <t>QUESTION 1</t>
  </si>
  <si>
    <t>FOOD CONTRIBUTION</t>
  </si>
  <si>
    <t>=</t>
  </si>
  <si>
    <t>HOUSING CONTRIBUTION</t>
  </si>
  <si>
    <t>FUEL AND LIGHT CONTRIBUTION</t>
  </si>
  <si>
    <t>CLOTHING AND FOOTWEAR CONTRIBUTION</t>
  </si>
  <si>
    <t>MISCELLANEOUS CONTRIBUTION</t>
  </si>
  <si>
    <t>FOOD AND BEVERAGES HAS THE HIGHEST CONTRIBUTION IN CPI CALCULATION</t>
  </si>
  <si>
    <t>YOY INFLATION %</t>
  </si>
  <si>
    <t>2022 HAS THE HIGHEST INFLATION N RATE</t>
  </si>
  <si>
    <t>REASONS</t>
  </si>
  <si>
    <t>1) IMPORTED INFLATION (CRUDE OIL)p</t>
  </si>
  <si>
    <t>2) EDIBLE OIL AND COMMODITY SHOCKS</t>
  </si>
  <si>
    <t>3) POST-PANDEMIC DEMAND</t>
  </si>
  <si>
    <t>FOOD MOM%Q</t>
  </si>
  <si>
    <t>SECTOR</t>
  </si>
  <si>
    <t>YEAR</t>
  </si>
  <si>
    <t>MONTH</t>
  </si>
  <si>
    <t>MONTH WITH LOWEST INFLATION IS FEBRUARY 2023</t>
  </si>
  <si>
    <t>MONTH WITH HIGHEST INFLATION IS JUNE 2022</t>
  </si>
  <si>
    <t>SPICES IS THE BIGGEST INDIVIDUAL CATEGORY CONTRIBUTOR</t>
  </si>
  <si>
    <t>FOOD COVID</t>
  </si>
  <si>
    <t>HEALTH COVID</t>
  </si>
  <si>
    <t>Household goods and services COVID</t>
  </si>
  <si>
    <t>THE REASON WE CAN SEE THE NOTICEABLE SPIKE IN INFLATION:</t>
  </si>
  <si>
    <t>1) FOOD INFLATION SPIKED</t>
  </si>
  <si>
    <t>2) HEALTHCARE INFLATION JUMPED</t>
  </si>
  <si>
    <t>3) ESSENTIAL SERVICES</t>
  </si>
  <si>
    <t>PRE COVID INFLATION=</t>
  </si>
  <si>
    <t>POST COVID INFLATIO=</t>
  </si>
  <si>
    <t>CRUDE OIL PRICES</t>
  </si>
  <si>
    <t>crude MOM%</t>
  </si>
  <si>
    <t>FOOD AND BEVERAGES mom%</t>
  </si>
  <si>
    <t>HOUSING mom%</t>
  </si>
  <si>
    <t>FUEL AND LIGHT mom%</t>
  </si>
  <si>
    <t>CLOTHING AND FOOTWEAR mom%</t>
  </si>
  <si>
    <t>MISCELLANEOUS mom%</t>
  </si>
  <si>
    <t>testing oil vs food</t>
  </si>
  <si>
    <t>testing oil vs housing</t>
  </si>
  <si>
    <t>testing oil vs fuel</t>
  </si>
  <si>
    <t>testing oil vs clothing</t>
  </si>
  <si>
    <t>testing oil vs misc</t>
  </si>
  <si>
    <t>clothing category shows the strongest correlation to global crude oil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</si>
</sst>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0" fillId="0" borderId="0" xfId="0" quotePrefix="1" applyBorder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3" borderId="0" xfId="0" applyFont="1" applyFill="1" applyBorder="1"/>
    <xf numFmtId="164" fontId="0" fillId="0" borderId="0" xfId="0" applyNumberFormat="1"/>
    <xf numFmtId="0" fontId="0" fillId="4" borderId="0" xfId="0" applyFill="1"/>
    <xf numFmtId="0" fontId="0" fillId="2" borderId="0" xfId="0" applyFont="1" applyFill="1"/>
    <xf numFmtId="9" fontId="0" fillId="0" borderId="0" xfId="1" applyFont="1"/>
    <xf numFmtId="10" fontId="0" fillId="0" borderId="0" xfId="0" applyNumberFormat="1"/>
    <xf numFmtId="10" fontId="0" fillId="2" borderId="0" xfId="0" applyNumberFormat="1" applyFill="1"/>
    <xf numFmtId="10" fontId="0" fillId="5" borderId="0" xfId="0" applyNumberFormat="1" applyFill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Fill="1" applyBorder="1"/>
    <xf numFmtId="0" fontId="1" fillId="6" borderId="11" xfId="0" applyFont="1" applyFill="1" applyBorder="1"/>
    <xf numFmtId="0" fontId="0" fillId="0" borderId="0" xfId="0" quotePrefix="1"/>
    <xf numFmtId="0" fontId="0" fillId="0" borderId="0" xfId="0" applyNumberFormat="1"/>
    <xf numFmtId="2" fontId="0" fillId="0" borderId="17" xfId="0" applyNumberFormat="1" applyFont="1" applyBorder="1"/>
    <xf numFmtId="2" fontId="0" fillId="7" borderId="17" xfId="0" applyNumberFormat="1" applyFont="1" applyFill="1" applyBorder="1"/>
    <xf numFmtId="2" fontId="0" fillId="0" borderId="0" xfId="0" applyNumberFormat="1"/>
    <xf numFmtId="0" fontId="1" fillId="0" borderId="0" xfId="0" applyNumberFormat="1" applyFont="1"/>
    <xf numFmtId="2" fontId="0" fillId="0" borderId="15" xfId="0" applyNumberFormat="1" applyFont="1" applyBorder="1" applyAlignment="1"/>
    <xf numFmtId="2" fontId="0" fillId="7" borderId="15" xfId="0" applyNumberFormat="1" applyFont="1" applyFill="1" applyBorder="1" applyAlignment="1"/>
    <xf numFmtId="2" fontId="0" fillId="0" borderId="16" xfId="0" applyNumberFormat="1" applyFont="1" applyBorder="1" applyAlignment="1"/>
    <xf numFmtId="2" fontId="0" fillId="7" borderId="16" xfId="0" applyNumberFormat="1" applyFont="1" applyFill="1" applyBorder="1" applyAlignment="1"/>
    <xf numFmtId="2" fontId="0" fillId="0" borderId="17" xfId="0" applyNumberFormat="1" applyFont="1" applyBorder="1" applyAlignment="1"/>
    <xf numFmtId="2" fontId="0" fillId="7" borderId="17" xfId="0" applyNumberFormat="1" applyFont="1" applyFill="1" applyBorder="1" applyAlignment="1"/>
    <xf numFmtId="0" fontId="0" fillId="0" borderId="11" xfId="0" applyNumberFormat="1" applyBorder="1"/>
    <xf numFmtId="10" fontId="0" fillId="0" borderId="11" xfId="0" applyNumberFormat="1" applyBorder="1"/>
    <xf numFmtId="0" fontId="0" fillId="0" borderId="11" xfId="0" applyBorder="1"/>
    <xf numFmtId="10" fontId="0" fillId="2" borderId="11" xfId="0" applyNumberFormat="1" applyFill="1" applyBorder="1"/>
    <xf numFmtId="0" fontId="1" fillId="8" borderId="0" xfId="0" applyFont="1" applyFill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4918033615394143E-2"/>
          <c:y val="2.0765551520254152E-2"/>
          <c:w val="0.93983543244050194"/>
          <c:h val="0.76970675261778365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'ANSWER 2'!$B$50:$C$125</c:f>
              <c:numCache>
                <c:formatCode>General</c:formatCode>
                <c:ptCount val="76"/>
                <c:pt idx="0">
                  <c:v>2017</c:v>
                </c:pt>
                <c:pt idx="1">
                  <c:v>2017</c:v>
                </c:pt>
                <c:pt idx="2">
                  <c:v>2017</c:v>
                </c:pt>
                <c:pt idx="3">
                  <c:v>2017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2017</c:v>
                </c:pt>
                <c:pt idx="9">
                  <c:v>2017</c:v>
                </c:pt>
                <c:pt idx="10">
                  <c:v>2017</c:v>
                </c:pt>
                <c:pt idx="11">
                  <c:v>2017</c:v>
                </c:pt>
                <c:pt idx="12">
                  <c:v>2018</c:v>
                </c:pt>
                <c:pt idx="13">
                  <c:v>2018</c:v>
                </c:pt>
                <c:pt idx="14">
                  <c:v>2018</c:v>
                </c:pt>
                <c:pt idx="15">
                  <c:v>2018</c:v>
                </c:pt>
                <c:pt idx="16">
                  <c:v>2018</c:v>
                </c:pt>
                <c:pt idx="17">
                  <c:v>2018</c:v>
                </c:pt>
                <c:pt idx="18">
                  <c:v>2018</c:v>
                </c:pt>
                <c:pt idx="19">
                  <c:v>2018</c:v>
                </c:pt>
                <c:pt idx="20">
                  <c:v>2018</c:v>
                </c:pt>
                <c:pt idx="21">
                  <c:v>2018</c:v>
                </c:pt>
                <c:pt idx="22">
                  <c:v>2018</c:v>
                </c:pt>
                <c:pt idx="23">
                  <c:v>2018</c:v>
                </c:pt>
                <c:pt idx="24">
                  <c:v>2019</c:v>
                </c:pt>
                <c:pt idx="25">
                  <c:v>2019</c:v>
                </c:pt>
                <c:pt idx="26">
                  <c:v>2019</c:v>
                </c:pt>
                <c:pt idx="27">
                  <c:v>2019</c:v>
                </c:pt>
                <c:pt idx="28">
                  <c:v>2019</c:v>
                </c:pt>
                <c:pt idx="29">
                  <c:v>2019</c:v>
                </c:pt>
                <c:pt idx="30">
                  <c:v>2019</c:v>
                </c:pt>
                <c:pt idx="31">
                  <c:v>2019</c:v>
                </c:pt>
                <c:pt idx="32">
                  <c:v>2019</c:v>
                </c:pt>
                <c:pt idx="33">
                  <c:v>2019</c:v>
                </c:pt>
                <c:pt idx="34">
                  <c:v>2019</c:v>
                </c:pt>
                <c:pt idx="35">
                  <c:v>2020</c:v>
                </c:pt>
                <c:pt idx="36">
                  <c:v>2020</c:v>
                </c:pt>
                <c:pt idx="37">
                  <c:v>2020</c:v>
                </c:pt>
                <c:pt idx="38">
                  <c:v>2020</c:v>
                </c:pt>
                <c:pt idx="39">
                  <c:v>2020</c:v>
                </c:pt>
                <c:pt idx="40">
                  <c:v>2020</c:v>
                </c:pt>
                <c:pt idx="41">
                  <c:v>2020</c:v>
                </c:pt>
                <c:pt idx="42">
                  <c:v>2020</c:v>
                </c:pt>
                <c:pt idx="43">
                  <c:v>2020</c:v>
                </c:pt>
                <c:pt idx="44">
                  <c:v>2020</c:v>
                </c:pt>
                <c:pt idx="45">
                  <c:v>2020</c:v>
                </c:pt>
                <c:pt idx="46">
                  <c:v>2020</c:v>
                </c:pt>
                <c:pt idx="47">
                  <c:v>2021</c:v>
                </c:pt>
                <c:pt idx="48">
                  <c:v>2021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2021</c:v>
                </c:pt>
                <c:pt idx="54">
                  <c:v>2021</c:v>
                </c:pt>
                <c:pt idx="55">
                  <c:v>2021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2022</c:v>
                </c:pt>
                <c:pt idx="60">
                  <c:v>2022</c:v>
                </c:pt>
                <c:pt idx="61">
                  <c:v>2022</c:v>
                </c:pt>
                <c:pt idx="62">
                  <c:v>2022</c:v>
                </c:pt>
                <c:pt idx="63">
                  <c:v>2022</c:v>
                </c:pt>
                <c:pt idx="64">
                  <c:v>2022</c:v>
                </c:pt>
                <c:pt idx="65">
                  <c:v>2022</c:v>
                </c:pt>
                <c:pt idx="66">
                  <c:v>2022</c:v>
                </c:pt>
                <c:pt idx="67">
                  <c:v>2022</c:v>
                </c:pt>
                <c:pt idx="68">
                  <c:v>2022</c:v>
                </c:pt>
                <c:pt idx="69">
                  <c:v>2022</c:v>
                </c:pt>
                <c:pt idx="70">
                  <c:v>2022</c:v>
                </c:pt>
                <c:pt idx="71">
                  <c:v>2023</c:v>
                </c:pt>
                <c:pt idx="72">
                  <c:v>2023</c:v>
                </c:pt>
                <c:pt idx="73">
                  <c:v>2023</c:v>
                </c:pt>
                <c:pt idx="74">
                  <c:v>2023</c:v>
                </c:pt>
                <c:pt idx="75">
                  <c:v>2023</c:v>
                </c:pt>
              </c:numCache>
            </c:numRef>
          </c:cat>
          <c:val>
            <c:numRef>
              <c:f>'ANSWER 2'!$D$50:$D$125</c:f>
            </c:numRef>
          </c:val>
          <c:smooth val="0"/>
          <c:extLst>
            <c:ext xmlns:c16="http://schemas.microsoft.com/office/drawing/2014/chart" uri="{C3380CC4-5D6E-409C-BE32-E72D297353CC}">
              <c16:uniqueId val="{00000000-3700-4630-B28E-4D2FDCDD90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'ANSWER 2'!$B$50:$C$125</c:f>
              <c:numCache>
                <c:formatCode>General</c:formatCode>
                <c:ptCount val="76"/>
                <c:pt idx="0">
                  <c:v>2017</c:v>
                </c:pt>
                <c:pt idx="1">
                  <c:v>2017</c:v>
                </c:pt>
                <c:pt idx="2">
                  <c:v>2017</c:v>
                </c:pt>
                <c:pt idx="3">
                  <c:v>2017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2017</c:v>
                </c:pt>
                <c:pt idx="9">
                  <c:v>2017</c:v>
                </c:pt>
                <c:pt idx="10">
                  <c:v>2017</c:v>
                </c:pt>
                <c:pt idx="11">
                  <c:v>2017</c:v>
                </c:pt>
                <c:pt idx="12">
                  <c:v>2018</c:v>
                </c:pt>
                <c:pt idx="13">
                  <c:v>2018</c:v>
                </c:pt>
                <c:pt idx="14">
                  <c:v>2018</c:v>
                </c:pt>
                <c:pt idx="15">
                  <c:v>2018</c:v>
                </c:pt>
                <c:pt idx="16">
                  <c:v>2018</c:v>
                </c:pt>
                <c:pt idx="17">
                  <c:v>2018</c:v>
                </c:pt>
                <c:pt idx="18">
                  <c:v>2018</c:v>
                </c:pt>
                <c:pt idx="19">
                  <c:v>2018</c:v>
                </c:pt>
                <c:pt idx="20">
                  <c:v>2018</c:v>
                </c:pt>
                <c:pt idx="21">
                  <c:v>2018</c:v>
                </c:pt>
                <c:pt idx="22">
                  <c:v>2018</c:v>
                </c:pt>
                <c:pt idx="23">
                  <c:v>2018</c:v>
                </c:pt>
                <c:pt idx="24">
                  <c:v>2019</c:v>
                </c:pt>
                <c:pt idx="25">
                  <c:v>2019</c:v>
                </c:pt>
                <c:pt idx="26">
                  <c:v>2019</c:v>
                </c:pt>
                <c:pt idx="27">
                  <c:v>2019</c:v>
                </c:pt>
                <c:pt idx="28">
                  <c:v>2019</c:v>
                </c:pt>
                <c:pt idx="29">
                  <c:v>2019</c:v>
                </c:pt>
                <c:pt idx="30">
                  <c:v>2019</c:v>
                </c:pt>
                <c:pt idx="31">
                  <c:v>2019</c:v>
                </c:pt>
                <c:pt idx="32">
                  <c:v>2019</c:v>
                </c:pt>
                <c:pt idx="33">
                  <c:v>2019</c:v>
                </c:pt>
                <c:pt idx="34">
                  <c:v>2019</c:v>
                </c:pt>
                <c:pt idx="35">
                  <c:v>2020</c:v>
                </c:pt>
                <c:pt idx="36">
                  <c:v>2020</c:v>
                </c:pt>
                <c:pt idx="37">
                  <c:v>2020</c:v>
                </c:pt>
                <c:pt idx="38">
                  <c:v>2020</c:v>
                </c:pt>
                <c:pt idx="39">
                  <c:v>2020</c:v>
                </c:pt>
                <c:pt idx="40">
                  <c:v>2020</c:v>
                </c:pt>
                <c:pt idx="41">
                  <c:v>2020</c:v>
                </c:pt>
                <c:pt idx="42">
                  <c:v>2020</c:v>
                </c:pt>
                <c:pt idx="43">
                  <c:v>2020</c:v>
                </c:pt>
                <c:pt idx="44">
                  <c:v>2020</c:v>
                </c:pt>
                <c:pt idx="45">
                  <c:v>2020</c:v>
                </c:pt>
                <c:pt idx="46">
                  <c:v>2020</c:v>
                </c:pt>
                <c:pt idx="47">
                  <c:v>2021</c:v>
                </c:pt>
                <c:pt idx="48">
                  <c:v>2021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2021</c:v>
                </c:pt>
                <c:pt idx="54">
                  <c:v>2021</c:v>
                </c:pt>
                <c:pt idx="55">
                  <c:v>2021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2022</c:v>
                </c:pt>
                <c:pt idx="60">
                  <c:v>2022</c:v>
                </c:pt>
                <c:pt idx="61">
                  <c:v>2022</c:v>
                </c:pt>
                <c:pt idx="62">
                  <c:v>2022</c:v>
                </c:pt>
                <c:pt idx="63">
                  <c:v>2022</c:v>
                </c:pt>
                <c:pt idx="64">
                  <c:v>2022</c:v>
                </c:pt>
                <c:pt idx="65">
                  <c:v>2022</c:v>
                </c:pt>
                <c:pt idx="66">
                  <c:v>2022</c:v>
                </c:pt>
                <c:pt idx="67">
                  <c:v>2022</c:v>
                </c:pt>
                <c:pt idx="68">
                  <c:v>2022</c:v>
                </c:pt>
                <c:pt idx="69">
                  <c:v>2022</c:v>
                </c:pt>
                <c:pt idx="70">
                  <c:v>2022</c:v>
                </c:pt>
                <c:pt idx="71">
                  <c:v>2023</c:v>
                </c:pt>
                <c:pt idx="72">
                  <c:v>2023</c:v>
                </c:pt>
                <c:pt idx="73">
                  <c:v>2023</c:v>
                </c:pt>
                <c:pt idx="74">
                  <c:v>2023</c:v>
                </c:pt>
                <c:pt idx="75">
                  <c:v>2023</c:v>
                </c:pt>
              </c:numCache>
            </c:numRef>
          </c:cat>
          <c:val>
            <c:numRef>
              <c:f>'ANSWER 2'!$E$50:$E$125</c:f>
              <c:numCache>
                <c:formatCode>0.0</c:formatCode>
                <c:ptCount val="76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4.8780487804878101</c:v>
                </c:pt>
                <c:pt idx="11">
                  <c:v>5.2147239263803549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2.3255813953488498</c:v>
                </c:pt>
                <c:pt idx="23">
                  <c:v>2.1137026239067098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3.5740335521517181</c:v>
                </c:pt>
                <c:pt idx="28">
                  <c:v>3.7010159651669037</c:v>
                </c:pt>
                <c:pt idx="29">
                  <c:v>4.115523465703963</c:v>
                </c:pt>
                <c:pt idx="30">
                  <c:v>3.7195994277539257</c:v>
                </c:pt>
                <c:pt idx="31">
                  <c:v>3.8461538461538498</c:v>
                </c:pt>
                <c:pt idx="32">
                  <c:v>4.9928673323823114</c:v>
                </c:pt>
                <c:pt idx="33">
                  <c:v>5.5397727272727151</c:v>
                </c:pt>
                <c:pt idx="34">
                  <c:v>6.8181818181818139</c:v>
                </c:pt>
                <c:pt idx="35">
                  <c:v>7.2091363311920027</c:v>
                </c:pt>
                <c:pt idx="36">
                  <c:v>6.8051575931232096</c:v>
                </c:pt>
                <c:pt idx="37">
                  <c:v>6.2187276626161463</c:v>
                </c:pt>
                <c:pt idx="38">
                  <c:v>6.9800569800569674</c:v>
                </c:pt>
                <c:pt idx="39">
                  <c:v>5.774647887323936</c:v>
                </c:pt>
                <c:pt idx="40">
                  <c:v>6.2281315605318444</c:v>
                </c:pt>
                <c:pt idx="41">
                  <c:v>5.27045769764218</c:v>
                </c:pt>
                <c:pt idx="42">
                  <c:v>6.1379310344827624</c:v>
                </c:pt>
                <c:pt idx="43">
                  <c:v>6.1042524005486802</c:v>
                </c:pt>
                <c:pt idx="44">
                  <c:v>6.2500000000000124</c:v>
                </c:pt>
                <c:pt idx="45">
                  <c:v>6.594885598923292</c:v>
                </c:pt>
                <c:pt idx="46">
                  <c:v>5.6515957446808507</c:v>
                </c:pt>
                <c:pt idx="47">
                  <c:v>4.7270306258322385</c:v>
                </c:pt>
                <c:pt idx="48">
                  <c:v>5.0301810865191152</c:v>
                </c:pt>
                <c:pt idx="49">
                  <c:v>5.5181695827725559</c:v>
                </c:pt>
                <c:pt idx="50">
                  <c:v>5.0599201065246495</c:v>
                </c:pt>
                <c:pt idx="51">
                  <c:v>6.7909454061251786</c:v>
                </c:pt>
                <c:pt idx="52">
                  <c:v>6.2582345191040831</c:v>
                </c:pt>
                <c:pt idx="53">
                  <c:v>7.0487483530961708</c:v>
                </c:pt>
                <c:pt idx="54">
                  <c:v>6.0428849902534001</c:v>
                </c:pt>
                <c:pt idx="55">
                  <c:v>5.4945054945054954</c:v>
                </c:pt>
                <c:pt idx="56">
                  <c:v>5.8184143222506357</c:v>
                </c:pt>
                <c:pt idx="57">
                  <c:v>5.239898989898979</c:v>
                </c:pt>
                <c:pt idx="58">
                  <c:v>4.5940843297671385</c:v>
                </c:pt>
                <c:pt idx="59">
                  <c:v>5.3401144310235074</c:v>
                </c:pt>
                <c:pt idx="60">
                  <c:v>6.0664112388250322</c:v>
                </c:pt>
                <c:pt idx="61">
                  <c:v>6.9515306122448823</c:v>
                </c:pt>
                <c:pt idx="62">
                  <c:v>7.7946768060836389</c:v>
                </c:pt>
                <c:pt idx="63">
                  <c:v>7.044887780548617</c:v>
                </c:pt>
                <c:pt idx="64">
                  <c:v>7.0055796652200755</c:v>
                </c:pt>
                <c:pt idx="65">
                  <c:v>6.7076923076923114</c:v>
                </c:pt>
                <c:pt idx="66">
                  <c:v>6.8014705882353086</c:v>
                </c:pt>
                <c:pt idx="67">
                  <c:v>7.4142156862745239</c:v>
                </c:pt>
                <c:pt idx="68">
                  <c:v>6.7673716012084526</c:v>
                </c:pt>
                <c:pt idx="69">
                  <c:v>5.8788242351529769</c:v>
                </c:pt>
                <c:pt idx="70">
                  <c:v>5.7160048134777384</c:v>
                </c:pt>
                <c:pt idx="71">
                  <c:v>6.5178032589016377</c:v>
                </c:pt>
                <c:pt idx="72">
                  <c:v>6.6827212522576733</c:v>
                </c:pt>
                <c:pt idx="73">
                  <c:v>5.6648777579010146</c:v>
                </c:pt>
                <c:pt idx="74">
                  <c:v>4.7031158142269254</c:v>
                </c:pt>
                <c:pt idx="75">
                  <c:v>4.3098427489807838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00-4630-B28E-4D2FDCDD90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362080"/>
        <c:axId val="194350848"/>
      </c:lineChart>
      <c:catAx>
        <c:axId val="194362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50848"/>
        <c:crosses val="autoZero"/>
        <c:auto val="1"/>
        <c:lblAlgn val="ctr"/>
        <c:lblOffset val="100"/>
        <c:noMultiLvlLbl val="0"/>
      </c:catAx>
      <c:valAx>
        <c:axId val="19435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2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351317</xdr:colOff>
      <xdr:row>0</xdr:row>
      <xdr:rowOff>166134</xdr:rowOff>
    </xdr:from>
    <xdr:to>
      <xdr:col>19</xdr:col>
      <xdr:colOff>575930</xdr:colOff>
      <xdr:row>19</xdr:row>
      <xdr:rowOff>99680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All_India_Index_Upto_April23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373"/>
  <sheetViews>
    <sheetView topLeftCell="Y307" zoomScale="98" zoomScaleNormal="98" workbookViewId="0">
      <selection activeCell="AB1" sqref="AB1:AF373"/>
    </sheetView>
  </sheetViews>
  <sheetFormatPr defaultRowHeight="15" x14ac:dyDescent="0.25"/>
  <cols>
    <col min="1" max="1" width="11.85546875" bestFit="1" customWidth="1"/>
    <col min="2" max="2" width="7.140625" bestFit="1" customWidth="1"/>
    <col min="3" max="3" width="10.85546875" bestFit="1" customWidth="1"/>
    <col min="4" max="4" width="12.42578125" customWidth="1"/>
    <col min="5" max="5" width="11.5703125" customWidth="1"/>
    <col min="6" max="6" width="12.7109375" customWidth="1"/>
    <col min="7" max="7" width="11.28515625" customWidth="1"/>
    <col min="8" max="8" width="11" customWidth="1"/>
    <col min="9" max="9" width="18" customWidth="1"/>
    <col min="10" max="10" width="11.7109375" customWidth="1"/>
    <col min="11" max="11" width="16.85546875" customWidth="1"/>
    <col min="12" max="12" width="26.28515625" customWidth="1"/>
    <col min="13" max="13" width="12.140625" customWidth="1"/>
    <col min="14" max="14" width="21.42578125" customWidth="1"/>
    <col min="15" max="15" width="17" customWidth="1"/>
    <col min="16" max="16" width="9.7109375" customWidth="1"/>
    <col min="17" max="17" width="10.7109375" customWidth="1"/>
    <col min="18" max="18" width="11.42578125" customWidth="1"/>
    <col min="19" max="19" width="10.42578125" customWidth="1"/>
    <col min="20" max="20" width="15.42578125" customWidth="1"/>
    <col min="21" max="21" width="30.42578125" bestFit="1" customWidth="1"/>
    <col min="22" max="22" width="9.140625" bestFit="1" customWidth="1"/>
    <col min="23" max="23" width="30.140625" bestFit="1" customWidth="1"/>
    <col min="24" max="24" width="28.140625" bestFit="1" customWidth="1"/>
    <col min="25" max="25" width="12" bestFit="1" customWidth="1"/>
    <col min="26" max="26" width="25.85546875" bestFit="1" customWidth="1"/>
    <col min="27" max="27" width="15.85546875" bestFit="1" customWidth="1"/>
    <col min="28" max="28" width="21.7109375" bestFit="1" customWidth="1"/>
    <col min="29" max="29" width="9.5703125" bestFit="1" customWidth="1"/>
    <col min="30" max="30" width="15.140625" bestFit="1" customWidth="1"/>
    <col min="31" max="31" width="25.5703125" bestFit="1" customWidth="1"/>
    <col min="32" max="32" width="15.7109375" bestFit="1" customWidth="1"/>
    <col min="33" max="33" width="23.140625" bestFit="1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42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s="1" t="s">
        <v>43</v>
      </c>
      <c r="AC1" s="1" t="s">
        <v>42</v>
      </c>
      <c r="AD1" s="1" t="s">
        <v>44</v>
      </c>
      <c r="AE1" s="1" t="s">
        <v>45</v>
      </c>
      <c r="AF1" s="1" t="s">
        <v>46</v>
      </c>
      <c r="AG1" s="2" t="s">
        <v>47</v>
      </c>
    </row>
    <row r="2" spans="1:33" hidden="1" x14ac:dyDescent="0.25">
      <c r="A2" t="s">
        <v>26</v>
      </c>
      <c r="B2">
        <v>2013</v>
      </c>
      <c r="C2" t="s">
        <v>27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105.1</v>
      </c>
      <c r="Q2">
        <v>106.5</v>
      </c>
      <c r="R2">
        <v>105.8</v>
      </c>
      <c r="T2">
        <v>105.5</v>
      </c>
      <c r="U2">
        <v>104.8</v>
      </c>
      <c r="V2">
        <v>104</v>
      </c>
      <c r="W2">
        <v>103.3</v>
      </c>
      <c r="X2">
        <v>103.4</v>
      </c>
      <c r="Y2">
        <v>103.8</v>
      </c>
      <c r="Z2">
        <v>104.7</v>
      </c>
      <c r="AA2">
        <v>105.1</v>
      </c>
      <c r="AB2">
        <f>SUM(D2:O2)</f>
        <v>1266.1999999999998</v>
      </c>
      <c r="AD2">
        <v>105.5</v>
      </c>
      <c r="AE2">
        <f>SUM(Q2:R2)</f>
        <v>212.3</v>
      </c>
      <c r="AF2">
        <f>SUM(U2:Z2,P2)</f>
        <v>729.1</v>
      </c>
      <c r="AG2">
        <f>SUM(AB2:AF2)</f>
        <v>2313.1</v>
      </c>
    </row>
    <row r="3" spans="1:33" hidden="1" x14ac:dyDescent="0.25">
      <c r="A3" t="s">
        <v>28</v>
      </c>
      <c r="B3">
        <v>2013</v>
      </c>
      <c r="C3" t="s">
        <v>27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105.2</v>
      </c>
      <c r="Q3">
        <v>105.9</v>
      </c>
      <c r="R3">
        <v>105</v>
      </c>
      <c r="S3">
        <v>100.3</v>
      </c>
      <c r="T3">
        <v>105.4</v>
      </c>
      <c r="U3">
        <v>104.8</v>
      </c>
      <c r="V3">
        <v>104.1</v>
      </c>
      <c r="W3">
        <v>103.2</v>
      </c>
      <c r="X3">
        <v>102.9</v>
      </c>
      <c r="Y3">
        <v>103.5</v>
      </c>
      <c r="Z3">
        <v>104.3</v>
      </c>
      <c r="AA3">
        <v>104</v>
      </c>
      <c r="AB3">
        <f t="shared" ref="AB3:AB66" si="0">SUM(D3:O3)</f>
        <v>1270.5</v>
      </c>
      <c r="AC3">
        <v>100.3</v>
      </c>
      <c r="AD3">
        <v>105.4</v>
      </c>
      <c r="AE3">
        <f t="shared" ref="AE3:AE66" si="1">SUM(Q3:R3)</f>
        <v>210.9</v>
      </c>
      <c r="AF3">
        <f t="shared" ref="AF3:AF66" si="2">SUM(U3:Z3,P3)</f>
        <v>728</v>
      </c>
      <c r="AG3">
        <f t="shared" ref="AG3:AG66" si="3">SUM(AB3:AF3)</f>
        <v>2415.1000000000004</v>
      </c>
    </row>
    <row r="4" spans="1:33" hidden="1" x14ac:dyDescent="0.25">
      <c r="A4" t="s">
        <v>29</v>
      </c>
      <c r="B4">
        <v>2013</v>
      </c>
      <c r="C4" t="s">
        <v>27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105.1</v>
      </c>
      <c r="Q4">
        <v>106.3</v>
      </c>
      <c r="R4">
        <v>105.5</v>
      </c>
      <c r="S4">
        <v>100.3</v>
      </c>
      <c r="T4">
        <v>105.5</v>
      </c>
      <c r="U4">
        <v>104.8</v>
      </c>
      <c r="V4">
        <v>104</v>
      </c>
      <c r="W4">
        <v>103.2</v>
      </c>
      <c r="X4">
        <v>103.1</v>
      </c>
      <c r="Y4">
        <v>103.6</v>
      </c>
      <c r="Z4">
        <v>104.5</v>
      </c>
      <c r="AA4">
        <v>104.6</v>
      </c>
      <c r="AB4">
        <f t="shared" si="0"/>
        <v>1267.7000000000003</v>
      </c>
      <c r="AC4">
        <v>100.3</v>
      </c>
      <c r="AD4">
        <v>105.5</v>
      </c>
      <c r="AE4">
        <f t="shared" si="1"/>
        <v>211.8</v>
      </c>
      <c r="AF4">
        <f t="shared" si="2"/>
        <v>728.30000000000007</v>
      </c>
      <c r="AG4">
        <f t="shared" si="3"/>
        <v>2413.6000000000004</v>
      </c>
    </row>
    <row r="5" spans="1:33" hidden="1" x14ac:dyDescent="0.25">
      <c r="A5" t="s">
        <v>26</v>
      </c>
      <c r="B5">
        <v>2013</v>
      </c>
      <c r="C5" t="s">
        <v>30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105.6</v>
      </c>
      <c r="Q5">
        <v>107.1</v>
      </c>
      <c r="R5">
        <v>106.3</v>
      </c>
      <c r="T5">
        <v>106.2</v>
      </c>
      <c r="U5">
        <v>105.2</v>
      </c>
      <c r="V5">
        <v>104.4</v>
      </c>
      <c r="W5">
        <v>103.9</v>
      </c>
      <c r="X5">
        <v>104</v>
      </c>
      <c r="Y5">
        <v>104.1</v>
      </c>
      <c r="Z5">
        <v>104.6</v>
      </c>
      <c r="AA5">
        <v>105.8</v>
      </c>
      <c r="AB5">
        <f t="shared" si="0"/>
        <v>1274.0999999999999</v>
      </c>
      <c r="AD5">
        <v>106.2</v>
      </c>
      <c r="AE5">
        <f t="shared" si="1"/>
        <v>213.39999999999998</v>
      </c>
      <c r="AF5">
        <f t="shared" si="2"/>
        <v>731.80000000000007</v>
      </c>
      <c r="AG5">
        <f t="shared" si="3"/>
        <v>2325.5</v>
      </c>
    </row>
    <row r="6" spans="1:33" hidden="1" x14ac:dyDescent="0.25">
      <c r="A6" t="s">
        <v>28</v>
      </c>
      <c r="B6">
        <v>2013</v>
      </c>
      <c r="C6" t="s">
        <v>30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106</v>
      </c>
      <c r="Q6">
        <v>106.6</v>
      </c>
      <c r="R6">
        <v>105.5</v>
      </c>
      <c r="S6">
        <v>100.4</v>
      </c>
      <c r="T6">
        <v>105.7</v>
      </c>
      <c r="U6">
        <v>105.2</v>
      </c>
      <c r="V6">
        <v>104.7</v>
      </c>
      <c r="W6">
        <v>104.4</v>
      </c>
      <c r="X6">
        <v>103.3</v>
      </c>
      <c r="Y6">
        <v>103.7</v>
      </c>
      <c r="Z6">
        <v>104.3</v>
      </c>
      <c r="AA6">
        <v>104.7</v>
      </c>
      <c r="AB6">
        <f t="shared" si="0"/>
        <v>1283.4000000000001</v>
      </c>
      <c r="AC6">
        <v>100.4</v>
      </c>
      <c r="AD6">
        <v>105.7</v>
      </c>
      <c r="AE6">
        <f t="shared" si="1"/>
        <v>212.1</v>
      </c>
      <c r="AF6">
        <f t="shared" si="2"/>
        <v>731.6</v>
      </c>
      <c r="AG6">
        <f t="shared" si="3"/>
        <v>2433.2000000000003</v>
      </c>
    </row>
    <row r="7" spans="1:33" hidden="1" x14ac:dyDescent="0.25">
      <c r="A7" t="s">
        <v>29</v>
      </c>
      <c r="B7">
        <v>2013</v>
      </c>
      <c r="C7" t="s">
        <v>30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105.7</v>
      </c>
      <c r="Q7">
        <v>106.9</v>
      </c>
      <c r="R7">
        <v>106</v>
      </c>
      <c r="S7">
        <v>100.4</v>
      </c>
      <c r="T7">
        <v>106</v>
      </c>
      <c r="U7">
        <v>105.2</v>
      </c>
      <c r="V7">
        <v>104.5</v>
      </c>
      <c r="W7">
        <v>104.2</v>
      </c>
      <c r="X7">
        <v>103.6</v>
      </c>
      <c r="Y7">
        <v>103.9</v>
      </c>
      <c r="Z7">
        <v>104.5</v>
      </c>
      <c r="AA7">
        <v>105.3</v>
      </c>
      <c r="AB7">
        <f t="shared" si="0"/>
        <v>1277.6000000000001</v>
      </c>
      <c r="AC7">
        <v>100.4</v>
      </c>
      <c r="AD7">
        <v>106</v>
      </c>
      <c r="AE7">
        <f t="shared" si="1"/>
        <v>212.9</v>
      </c>
      <c r="AF7">
        <f t="shared" si="2"/>
        <v>731.6</v>
      </c>
      <c r="AG7">
        <f t="shared" si="3"/>
        <v>2428.5000000000005</v>
      </c>
    </row>
    <row r="8" spans="1:33" hidden="1" x14ac:dyDescent="0.25">
      <c r="A8" t="s">
        <v>26</v>
      </c>
      <c r="B8">
        <v>2013</v>
      </c>
      <c r="C8" t="s">
        <v>31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106.5</v>
      </c>
      <c r="Q8">
        <v>107.6</v>
      </c>
      <c r="R8">
        <v>106.8</v>
      </c>
      <c r="T8">
        <v>106.1</v>
      </c>
      <c r="U8">
        <v>105.6</v>
      </c>
      <c r="V8">
        <v>104.7</v>
      </c>
      <c r="W8">
        <v>104.6</v>
      </c>
      <c r="X8">
        <v>104</v>
      </c>
      <c r="Y8">
        <v>104.3</v>
      </c>
      <c r="Z8">
        <v>104.3</v>
      </c>
      <c r="AA8">
        <v>106</v>
      </c>
      <c r="AB8">
        <f t="shared" si="0"/>
        <v>1275.6000000000001</v>
      </c>
      <c r="AD8">
        <v>106.1</v>
      </c>
      <c r="AE8">
        <f t="shared" si="1"/>
        <v>214.39999999999998</v>
      </c>
      <c r="AF8">
        <f t="shared" si="2"/>
        <v>733.99999999999989</v>
      </c>
      <c r="AG8">
        <f t="shared" si="3"/>
        <v>2330.1</v>
      </c>
    </row>
    <row r="9" spans="1:33" hidden="1" x14ac:dyDescent="0.25">
      <c r="A9" t="s">
        <v>28</v>
      </c>
      <c r="B9">
        <v>2013</v>
      </c>
      <c r="C9" t="s">
        <v>31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106.8</v>
      </c>
      <c r="Q9">
        <v>107.2</v>
      </c>
      <c r="R9">
        <v>106</v>
      </c>
      <c r="S9">
        <v>100.4</v>
      </c>
      <c r="T9">
        <v>106</v>
      </c>
      <c r="U9">
        <v>105.7</v>
      </c>
      <c r="V9">
        <v>105.2</v>
      </c>
      <c r="W9">
        <v>105.5</v>
      </c>
      <c r="X9">
        <v>103.5</v>
      </c>
      <c r="Y9">
        <v>103.8</v>
      </c>
      <c r="Z9">
        <v>104.2</v>
      </c>
      <c r="AA9">
        <v>105</v>
      </c>
      <c r="AB9">
        <f t="shared" si="0"/>
        <v>1279.5</v>
      </c>
      <c r="AC9">
        <v>100.4</v>
      </c>
      <c r="AD9">
        <v>106</v>
      </c>
      <c r="AE9">
        <f t="shared" si="1"/>
        <v>213.2</v>
      </c>
      <c r="AF9">
        <f t="shared" si="2"/>
        <v>734.69999999999993</v>
      </c>
      <c r="AG9">
        <f t="shared" si="3"/>
        <v>2433.8000000000002</v>
      </c>
    </row>
    <row r="10" spans="1:33" hidden="1" x14ac:dyDescent="0.25">
      <c r="A10" t="s">
        <v>29</v>
      </c>
      <c r="B10">
        <v>2013</v>
      </c>
      <c r="C10" t="s">
        <v>31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106.6</v>
      </c>
      <c r="Q10">
        <v>107.4</v>
      </c>
      <c r="R10">
        <v>106.5</v>
      </c>
      <c r="S10">
        <v>100.4</v>
      </c>
      <c r="T10">
        <v>106.1</v>
      </c>
      <c r="U10">
        <v>105.6</v>
      </c>
      <c r="V10">
        <v>104.9</v>
      </c>
      <c r="W10">
        <v>105.1</v>
      </c>
      <c r="X10">
        <v>103.7</v>
      </c>
      <c r="Y10">
        <v>104</v>
      </c>
      <c r="Z10">
        <v>104.3</v>
      </c>
      <c r="AA10">
        <v>105.5</v>
      </c>
      <c r="AB10">
        <f t="shared" si="0"/>
        <v>1277.1000000000001</v>
      </c>
      <c r="AC10">
        <v>100.4</v>
      </c>
      <c r="AD10">
        <v>106.1</v>
      </c>
      <c r="AE10">
        <f t="shared" si="1"/>
        <v>213.9</v>
      </c>
      <c r="AF10">
        <f t="shared" si="2"/>
        <v>734.19999999999993</v>
      </c>
      <c r="AG10">
        <f t="shared" si="3"/>
        <v>2431.7000000000003</v>
      </c>
    </row>
    <row r="11" spans="1:33" hidden="1" x14ac:dyDescent="0.25">
      <c r="A11" t="s">
        <v>26</v>
      </c>
      <c r="B11">
        <v>2013</v>
      </c>
      <c r="C11" t="s">
        <v>32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108.1</v>
      </c>
      <c r="R11">
        <v>107.4</v>
      </c>
      <c r="T11">
        <v>106.5</v>
      </c>
      <c r="U11">
        <v>106.1</v>
      </c>
      <c r="V11">
        <v>105.1</v>
      </c>
      <c r="W11">
        <v>104.4</v>
      </c>
      <c r="X11">
        <v>104.5</v>
      </c>
      <c r="Y11">
        <v>104.8</v>
      </c>
      <c r="Z11">
        <v>102.7</v>
      </c>
      <c r="AA11">
        <v>106.4</v>
      </c>
      <c r="AB11">
        <f t="shared" si="0"/>
        <v>1278.7</v>
      </c>
      <c r="AD11">
        <v>106.5</v>
      </c>
      <c r="AE11">
        <f t="shared" si="1"/>
        <v>215.5</v>
      </c>
      <c r="AF11">
        <f t="shared" si="2"/>
        <v>734.7</v>
      </c>
      <c r="AG11">
        <f t="shared" si="3"/>
        <v>2335.4</v>
      </c>
    </row>
    <row r="12" spans="1:33" hidden="1" x14ac:dyDescent="0.25">
      <c r="A12" t="s">
        <v>28</v>
      </c>
      <c r="B12">
        <v>2013</v>
      </c>
      <c r="C12" t="s">
        <v>32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108.5</v>
      </c>
      <c r="Q12">
        <v>107.9</v>
      </c>
      <c r="R12">
        <v>106.4</v>
      </c>
      <c r="S12">
        <v>100.5</v>
      </c>
      <c r="T12">
        <v>106.4</v>
      </c>
      <c r="U12">
        <v>106.5</v>
      </c>
      <c r="V12">
        <v>105.7</v>
      </c>
      <c r="W12">
        <v>105</v>
      </c>
      <c r="X12">
        <v>104</v>
      </c>
      <c r="Y12">
        <v>105.2</v>
      </c>
      <c r="Z12">
        <v>103.2</v>
      </c>
      <c r="AA12">
        <v>105.7</v>
      </c>
      <c r="AB12">
        <f t="shared" si="0"/>
        <v>1288.8999999999999</v>
      </c>
      <c r="AC12">
        <v>100.5</v>
      </c>
      <c r="AD12">
        <v>106.4</v>
      </c>
      <c r="AE12">
        <f t="shared" si="1"/>
        <v>214.3</v>
      </c>
      <c r="AF12">
        <f t="shared" si="2"/>
        <v>738.1</v>
      </c>
      <c r="AG12">
        <f t="shared" si="3"/>
        <v>2448.1999999999998</v>
      </c>
    </row>
    <row r="13" spans="1:33" hidden="1" x14ac:dyDescent="0.25">
      <c r="A13" t="s">
        <v>29</v>
      </c>
      <c r="B13">
        <v>2013</v>
      </c>
      <c r="C13" t="s">
        <v>32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107.5</v>
      </c>
      <c r="Q13">
        <v>108</v>
      </c>
      <c r="R13">
        <v>107</v>
      </c>
      <c r="S13">
        <v>100.5</v>
      </c>
      <c r="T13">
        <v>106.5</v>
      </c>
      <c r="U13">
        <v>106.3</v>
      </c>
      <c r="V13">
        <v>105.3</v>
      </c>
      <c r="W13">
        <v>104.7</v>
      </c>
      <c r="X13">
        <v>104.2</v>
      </c>
      <c r="Y13">
        <v>105</v>
      </c>
      <c r="Z13">
        <v>102.9</v>
      </c>
      <c r="AA13">
        <v>106.1</v>
      </c>
      <c r="AB13">
        <f t="shared" si="0"/>
        <v>1282.5</v>
      </c>
      <c r="AC13">
        <v>100.5</v>
      </c>
      <c r="AD13">
        <v>106.5</v>
      </c>
      <c r="AE13">
        <f t="shared" si="1"/>
        <v>215</v>
      </c>
      <c r="AF13">
        <f t="shared" si="2"/>
        <v>735.9</v>
      </c>
      <c r="AG13">
        <f t="shared" si="3"/>
        <v>2440.4</v>
      </c>
    </row>
    <row r="14" spans="1:33" hidden="1" x14ac:dyDescent="0.25">
      <c r="A14" t="s">
        <v>26</v>
      </c>
      <c r="B14">
        <v>2013</v>
      </c>
      <c r="C14" t="s">
        <v>33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108.8</v>
      </c>
      <c r="R14">
        <v>107.9</v>
      </c>
      <c r="T14">
        <v>107.5</v>
      </c>
      <c r="U14">
        <v>106.8</v>
      </c>
      <c r="V14">
        <v>105.7</v>
      </c>
      <c r="W14">
        <v>104.1</v>
      </c>
      <c r="X14">
        <v>105</v>
      </c>
      <c r="Y14">
        <v>105.5</v>
      </c>
      <c r="Z14">
        <v>102.1</v>
      </c>
      <c r="AA14">
        <v>107.2</v>
      </c>
      <c r="AB14">
        <f t="shared" si="0"/>
        <v>1285.9000000000001</v>
      </c>
      <c r="AD14">
        <v>107.5</v>
      </c>
      <c r="AE14">
        <f t="shared" si="1"/>
        <v>216.7</v>
      </c>
      <c r="AF14">
        <f t="shared" si="2"/>
        <v>737.30000000000007</v>
      </c>
      <c r="AG14">
        <f t="shared" si="3"/>
        <v>2347.4</v>
      </c>
    </row>
    <row r="15" spans="1:33" hidden="1" x14ac:dyDescent="0.25">
      <c r="A15" t="s">
        <v>28</v>
      </c>
      <c r="B15">
        <v>2013</v>
      </c>
      <c r="C15" t="s">
        <v>33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109.8</v>
      </c>
      <c r="Q15">
        <v>108.5</v>
      </c>
      <c r="R15">
        <v>106.7</v>
      </c>
      <c r="S15">
        <v>100.5</v>
      </c>
      <c r="T15">
        <v>107.2</v>
      </c>
      <c r="U15">
        <v>107.1</v>
      </c>
      <c r="V15">
        <v>106.2</v>
      </c>
      <c r="W15">
        <v>103.9</v>
      </c>
      <c r="X15">
        <v>104.6</v>
      </c>
      <c r="Y15">
        <v>105.7</v>
      </c>
      <c r="Z15">
        <v>102.6</v>
      </c>
      <c r="AA15">
        <v>106.6</v>
      </c>
      <c r="AB15">
        <f t="shared" si="0"/>
        <v>1306.0999999999999</v>
      </c>
      <c r="AC15">
        <v>100.5</v>
      </c>
      <c r="AD15">
        <v>107.2</v>
      </c>
      <c r="AE15">
        <f t="shared" si="1"/>
        <v>215.2</v>
      </c>
      <c r="AF15">
        <f t="shared" si="2"/>
        <v>739.90000000000009</v>
      </c>
      <c r="AG15">
        <f t="shared" si="3"/>
        <v>2468.9</v>
      </c>
    </row>
    <row r="16" spans="1:33" hidden="1" x14ac:dyDescent="0.25">
      <c r="A16" t="s">
        <v>29</v>
      </c>
      <c r="B16">
        <v>2013</v>
      </c>
      <c r="C16" t="s">
        <v>33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108.6</v>
      </c>
      <c r="Q16">
        <v>108.7</v>
      </c>
      <c r="R16">
        <v>107.4</v>
      </c>
      <c r="S16">
        <v>100.5</v>
      </c>
      <c r="T16">
        <v>107.4</v>
      </c>
      <c r="U16">
        <v>106.9</v>
      </c>
      <c r="V16">
        <v>105.9</v>
      </c>
      <c r="W16">
        <v>104</v>
      </c>
      <c r="X16">
        <v>104.8</v>
      </c>
      <c r="Y16">
        <v>105.6</v>
      </c>
      <c r="Z16">
        <v>102.3</v>
      </c>
      <c r="AA16">
        <v>106.9</v>
      </c>
      <c r="AB16">
        <f t="shared" si="0"/>
        <v>1292.9999999999998</v>
      </c>
      <c r="AC16">
        <v>100.5</v>
      </c>
      <c r="AD16">
        <v>107.4</v>
      </c>
      <c r="AE16">
        <f t="shared" si="1"/>
        <v>216.10000000000002</v>
      </c>
      <c r="AF16">
        <f t="shared" si="2"/>
        <v>738.1</v>
      </c>
      <c r="AG16">
        <f t="shared" si="3"/>
        <v>2455.1</v>
      </c>
    </row>
    <row r="17" spans="1:33" hidden="1" x14ac:dyDescent="0.25">
      <c r="A17" t="s">
        <v>26</v>
      </c>
      <c r="B17">
        <v>2013</v>
      </c>
      <c r="C17" t="s">
        <v>34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109</v>
      </c>
      <c r="Q17">
        <v>109.7</v>
      </c>
      <c r="R17">
        <v>108.8</v>
      </c>
      <c r="T17">
        <v>108.5</v>
      </c>
      <c r="U17">
        <v>107.5</v>
      </c>
      <c r="V17">
        <v>106.3</v>
      </c>
      <c r="W17">
        <v>105</v>
      </c>
      <c r="X17">
        <v>105.6</v>
      </c>
      <c r="Y17">
        <v>106.5</v>
      </c>
      <c r="Z17">
        <v>102.5</v>
      </c>
      <c r="AA17">
        <v>108.9</v>
      </c>
      <c r="AB17">
        <f t="shared" si="0"/>
        <v>1309.4000000000001</v>
      </c>
      <c r="AD17">
        <v>108.5</v>
      </c>
      <c r="AE17">
        <f t="shared" si="1"/>
        <v>218.5</v>
      </c>
      <c r="AF17">
        <f t="shared" si="2"/>
        <v>742.4</v>
      </c>
      <c r="AG17">
        <f t="shared" si="3"/>
        <v>2378.8000000000002</v>
      </c>
    </row>
    <row r="18" spans="1:33" hidden="1" x14ac:dyDescent="0.25">
      <c r="A18" t="s">
        <v>28</v>
      </c>
      <c r="B18">
        <v>2013</v>
      </c>
      <c r="C18" t="s">
        <v>34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110.9</v>
      </c>
      <c r="Q18">
        <v>109.2</v>
      </c>
      <c r="R18">
        <v>107.2</v>
      </c>
      <c r="S18">
        <v>106.6</v>
      </c>
      <c r="T18">
        <v>108</v>
      </c>
      <c r="U18">
        <v>107.7</v>
      </c>
      <c r="V18">
        <v>106.5</v>
      </c>
      <c r="W18">
        <v>105.2</v>
      </c>
      <c r="X18">
        <v>105.2</v>
      </c>
      <c r="Y18">
        <v>108.1</v>
      </c>
      <c r="Z18">
        <v>103.3</v>
      </c>
      <c r="AA18">
        <v>109.7</v>
      </c>
      <c r="AB18">
        <f t="shared" si="0"/>
        <v>1349.6000000000001</v>
      </c>
      <c r="AC18">
        <v>106.6</v>
      </c>
      <c r="AD18">
        <v>108</v>
      </c>
      <c r="AE18">
        <f t="shared" si="1"/>
        <v>216.4</v>
      </c>
      <c r="AF18">
        <f t="shared" si="2"/>
        <v>746.89999999999986</v>
      </c>
      <c r="AG18">
        <f t="shared" si="3"/>
        <v>2527.5</v>
      </c>
    </row>
    <row r="19" spans="1:33" hidden="1" x14ac:dyDescent="0.25">
      <c r="A19" t="s">
        <v>29</v>
      </c>
      <c r="B19">
        <v>2013</v>
      </c>
      <c r="C19" t="s">
        <v>34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109.5</v>
      </c>
      <c r="Q19">
        <v>109.5</v>
      </c>
      <c r="R19">
        <v>108.1</v>
      </c>
      <c r="S19">
        <v>106.6</v>
      </c>
      <c r="T19">
        <v>108.3</v>
      </c>
      <c r="U19">
        <v>107.6</v>
      </c>
      <c r="V19">
        <v>106.4</v>
      </c>
      <c r="W19">
        <v>105.1</v>
      </c>
      <c r="X19">
        <v>105.4</v>
      </c>
      <c r="Y19">
        <v>107.4</v>
      </c>
      <c r="Z19">
        <v>102.8</v>
      </c>
      <c r="AA19">
        <v>109.3</v>
      </c>
      <c r="AB19">
        <f t="shared" si="0"/>
        <v>1323.8</v>
      </c>
      <c r="AC19">
        <v>106.6</v>
      </c>
      <c r="AD19">
        <v>108.3</v>
      </c>
      <c r="AE19">
        <f t="shared" si="1"/>
        <v>217.6</v>
      </c>
      <c r="AF19">
        <f t="shared" si="2"/>
        <v>744.19999999999993</v>
      </c>
      <c r="AG19">
        <f t="shared" si="3"/>
        <v>2500.4999999999995</v>
      </c>
    </row>
    <row r="20" spans="1:33" hidden="1" x14ac:dyDescent="0.25">
      <c r="A20" t="s">
        <v>26</v>
      </c>
      <c r="B20">
        <v>2013</v>
      </c>
      <c r="C20" t="s">
        <v>35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109.8</v>
      </c>
      <c r="Q20">
        <v>110.5</v>
      </c>
      <c r="R20">
        <v>109.5</v>
      </c>
      <c r="T20">
        <v>109.5</v>
      </c>
      <c r="U20">
        <v>108.3</v>
      </c>
      <c r="V20">
        <v>106.9</v>
      </c>
      <c r="W20">
        <v>106.8</v>
      </c>
      <c r="X20">
        <v>106.4</v>
      </c>
      <c r="Y20">
        <v>107.8</v>
      </c>
      <c r="Z20">
        <v>102.5</v>
      </c>
      <c r="AA20">
        <v>110.7</v>
      </c>
      <c r="AB20">
        <f t="shared" si="0"/>
        <v>1332.7999999999997</v>
      </c>
      <c r="AD20">
        <v>109.5</v>
      </c>
      <c r="AE20">
        <f t="shared" si="1"/>
        <v>220</v>
      </c>
      <c r="AF20">
        <f t="shared" si="2"/>
        <v>748.49999999999989</v>
      </c>
      <c r="AG20">
        <f t="shared" si="3"/>
        <v>2410.7999999999997</v>
      </c>
    </row>
    <row r="21" spans="1:33" hidden="1" x14ac:dyDescent="0.25">
      <c r="A21" t="s">
        <v>28</v>
      </c>
      <c r="B21">
        <v>2013</v>
      </c>
      <c r="C21" t="s">
        <v>35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111.7</v>
      </c>
      <c r="Q21">
        <v>109.8</v>
      </c>
      <c r="R21">
        <v>107.8</v>
      </c>
      <c r="S21">
        <v>107.7</v>
      </c>
      <c r="T21">
        <v>108.6</v>
      </c>
      <c r="U21">
        <v>108.1</v>
      </c>
      <c r="V21">
        <v>107.1</v>
      </c>
      <c r="W21">
        <v>107.3</v>
      </c>
      <c r="X21">
        <v>105.9</v>
      </c>
      <c r="Y21">
        <v>110.1</v>
      </c>
      <c r="Z21">
        <v>103.2</v>
      </c>
      <c r="AA21">
        <v>111.4</v>
      </c>
      <c r="AB21">
        <f t="shared" si="0"/>
        <v>1371.9</v>
      </c>
      <c r="AC21">
        <v>107.7</v>
      </c>
      <c r="AD21">
        <v>108.6</v>
      </c>
      <c r="AE21">
        <f t="shared" si="1"/>
        <v>217.6</v>
      </c>
      <c r="AF21">
        <f t="shared" si="2"/>
        <v>753.40000000000009</v>
      </c>
      <c r="AG21">
        <f t="shared" si="3"/>
        <v>2559.1999999999998</v>
      </c>
    </row>
    <row r="22" spans="1:33" hidden="1" x14ac:dyDescent="0.25">
      <c r="A22" t="s">
        <v>29</v>
      </c>
      <c r="B22">
        <v>2013</v>
      </c>
      <c r="C22" t="s">
        <v>35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110.3</v>
      </c>
      <c r="Q22">
        <v>110.2</v>
      </c>
      <c r="R22">
        <v>108.8</v>
      </c>
      <c r="S22">
        <v>107.7</v>
      </c>
      <c r="T22">
        <v>109.2</v>
      </c>
      <c r="U22">
        <v>108.2</v>
      </c>
      <c r="V22">
        <v>107</v>
      </c>
      <c r="W22">
        <v>107.1</v>
      </c>
      <c r="X22">
        <v>106.1</v>
      </c>
      <c r="Y22">
        <v>109.1</v>
      </c>
      <c r="Z22">
        <v>102.8</v>
      </c>
      <c r="AA22">
        <v>111</v>
      </c>
      <c r="AB22">
        <f t="shared" si="0"/>
        <v>1346.6999999999998</v>
      </c>
      <c r="AC22">
        <v>107.7</v>
      </c>
      <c r="AD22">
        <v>109.2</v>
      </c>
      <c r="AE22">
        <f t="shared" si="1"/>
        <v>219</v>
      </c>
      <c r="AF22">
        <f t="shared" si="2"/>
        <v>750.59999999999991</v>
      </c>
      <c r="AG22">
        <f t="shared" si="3"/>
        <v>2533.1999999999998</v>
      </c>
    </row>
    <row r="23" spans="1:33" hidden="1" x14ac:dyDescent="0.25">
      <c r="A23" t="s">
        <v>26</v>
      </c>
      <c r="B23">
        <v>2013</v>
      </c>
      <c r="C23" t="s">
        <v>36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110.7</v>
      </c>
      <c r="Q23">
        <v>111.3</v>
      </c>
      <c r="R23">
        <v>110.2</v>
      </c>
      <c r="T23">
        <v>109.9</v>
      </c>
      <c r="U23">
        <v>108.7</v>
      </c>
      <c r="V23">
        <v>107.5</v>
      </c>
      <c r="W23">
        <v>107.8</v>
      </c>
      <c r="X23">
        <v>106.8</v>
      </c>
      <c r="Y23">
        <v>108.7</v>
      </c>
      <c r="Z23">
        <v>105</v>
      </c>
      <c r="AA23">
        <v>112.1</v>
      </c>
      <c r="AB23">
        <f t="shared" si="0"/>
        <v>1347.6</v>
      </c>
      <c r="AD23">
        <v>109.9</v>
      </c>
      <c r="AE23">
        <f t="shared" si="1"/>
        <v>221.5</v>
      </c>
      <c r="AF23">
        <f t="shared" si="2"/>
        <v>755.2</v>
      </c>
      <c r="AG23">
        <f t="shared" si="3"/>
        <v>2434.1999999999998</v>
      </c>
    </row>
    <row r="24" spans="1:33" hidden="1" x14ac:dyDescent="0.25">
      <c r="A24" t="s">
        <v>28</v>
      </c>
      <c r="B24">
        <v>2013</v>
      </c>
      <c r="C24" t="s">
        <v>36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112.4</v>
      </c>
      <c r="Q24">
        <v>110.6</v>
      </c>
      <c r="R24">
        <v>108.3</v>
      </c>
      <c r="S24">
        <v>108.9</v>
      </c>
      <c r="T24">
        <v>109.3</v>
      </c>
      <c r="U24">
        <v>108.7</v>
      </c>
      <c r="V24">
        <v>107.6</v>
      </c>
      <c r="W24">
        <v>108.1</v>
      </c>
      <c r="X24">
        <v>106.5</v>
      </c>
      <c r="Y24">
        <v>110.8</v>
      </c>
      <c r="Z24">
        <v>106</v>
      </c>
      <c r="AA24">
        <v>112.7</v>
      </c>
      <c r="AB24">
        <f t="shared" si="0"/>
        <v>1386.5000000000002</v>
      </c>
      <c r="AC24">
        <v>108.9</v>
      </c>
      <c r="AD24">
        <v>109.3</v>
      </c>
      <c r="AE24">
        <f t="shared" si="1"/>
        <v>218.89999999999998</v>
      </c>
      <c r="AF24">
        <f t="shared" si="2"/>
        <v>760.09999999999991</v>
      </c>
      <c r="AG24">
        <f t="shared" si="3"/>
        <v>2583.7000000000003</v>
      </c>
    </row>
    <row r="25" spans="1:33" hidden="1" x14ac:dyDescent="0.25">
      <c r="A25" t="s">
        <v>29</v>
      </c>
      <c r="B25">
        <v>2013</v>
      </c>
      <c r="C25" t="s">
        <v>36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111.2</v>
      </c>
      <c r="Q25">
        <v>111</v>
      </c>
      <c r="R25">
        <v>109.4</v>
      </c>
      <c r="S25">
        <v>108.9</v>
      </c>
      <c r="T25">
        <v>109.7</v>
      </c>
      <c r="U25">
        <v>108.7</v>
      </c>
      <c r="V25">
        <v>107.5</v>
      </c>
      <c r="W25">
        <v>108</v>
      </c>
      <c r="X25">
        <v>106.6</v>
      </c>
      <c r="Y25">
        <v>109.9</v>
      </c>
      <c r="Z25">
        <v>105.4</v>
      </c>
      <c r="AA25">
        <v>112.4</v>
      </c>
      <c r="AB25">
        <f t="shared" si="0"/>
        <v>1360.8000000000002</v>
      </c>
      <c r="AC25">
        <v>108.9</v>
      </c>
      <c r="AD25">
        <v>109.7</v>
      </c>
      <c r="AE25">
        <f t="shared" si="1"/>
        <v>220.4</v>
      </c>
      <c r="AF25">
        <f t="shared" si="2"/>
        <v>757.3</v>
      </c>
      <c r="AG25">
        <f t="shared" si="3"/>
        <v>2557.1000000000004</v>
      </c>
    </row>
    <row r="26" spans="1:33" hidden="1" x14ac:dyDescent="0.25">
      <c r="A26" t="s">
        <v>26</v>
      </c>
      <c r="B26">
        <v>2013</v>
      </c>
      <c r="C26" t="s">
        <v>37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111.7</v>
      </c>
      <c r="Q26">
        <v>112.7</v>
      </c>
      <c r="R26">
        <v>111.4</v>
      </c>
      <c r="T26">
        <v>111.1</v>
      </c>
      <c r="U26">
        <v>109.6</v>
      </c>
      <c r="V26">
        <v>108.3</v>
      </c>
      <c r="W26">
        <v>109.3</v>
      </c>
      <c r="X26">
        <v>107.7</v>
      </c>
      <c r="Y26">
        <v>109.8</v>
      </c>
      <c r="Z26">
        <v>106.7</v>
      </c>
      <c r="AA26">
        <v>114.2</v>
      </c>
      <c r="AB26">
        <f t="shared" si="0"/>
        <v>1370.7000000000003</v>
      </c>
      <c r="AD26">
        <v>111.1</v>
      </c>
      <c r="AE26">
        <f t="shared" si="1"/>
        <v>224.10000000000002</v>
      </c>
      <c r="AF26">
        <f t="shared" si="2"/>
        <v>763.1</v>
      </c>
      <c r="AG26">
        <f t="shared" si="3"/>
        <v>2469</v>
      </c>
    </row>
    <row r="27" spans="1:33" hidden="1" x14ac:dyDescent="0.25">
      <c r="A27" t="s">
        <v>28</v>
      </c>
      <c r="B27">
        <v>2013</v>
      </c>
      <c r="C27" t="s">
        <v>37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112.9</v>
      </c>
      <c r="Q27">
        <v>111.4</v>
      </c>
      <c r="R27">
        <v>109</v>
      </c>
      <c r="S27">
        <v>109.7</v>
      </c>
      <c r="T27">
        <v>109.5</v>
      </c>
      <c r="U27">
        <v>109.6</v>
      </c>
      <c r="V27">
        <v>107.9</v>
      </c>
      <c r="W27">
        <v>110.4</v>
      </c>
      <c r="X27">
        <v>107.4</v>
      </c>
      <c r="Y27">
        <v>111.2</v>
      </c>
      <c r="Z27">
        <v>106.9</v>
      </c>
      <c r="AA27">
        <v>113.2</v>
      </c>
      <c r="AB27">
        <f t="shared" si="0"/>
        <v>1381.2</v>
      </c>
      <c r="AC27">
        <v>109.7</v>
      </c>
      <c r="AD27">
        <v>109.5</v>
      </c>
      <c r="AE27">
        <f t="shared" si="1"/>
        <v>220.4</v>
      </c>
      <c r="AF27">
        <f t="shared" si="2"/>
        <v>766.3</v>
      </c>
      <c r="AG27">
        <f t="shared" si="3"/>
        <v>2587.1000000000004</v>
      </c>
    </row>
    <row r="28" spans="1:33" hidden="1" x14ac:dyDescent="0.25">
      <c r="A28" t="s">
        <v>29</v>
      </c>
      <c r="B28">
        <v>2013</v>
      </c>
      <c r="C28" t="s">
        <v>37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112</v>
      </c>
      <c r="Q28">
        <v>112.2</v>
      </c>
      <c r="R28">
        <v>110.4</v>
      </c>
      <c r="S28">
        <v>109.7</v>
      </c>
      <c r="T28">
        <v>110.5</v>
      </c>
      <c r="U28">
        <v>109.6</v>
      </c>
      <c r="V28">
        <v>108.1</v>
      </c>
      <c r="W28">
        <v>109.9</v>
      </c>
      <c r="X28">
        <v>107.5</v>
      </c>
      <c r="Y28">
        <v>110.6</v>
      </c>
      <c r="Z28">
        <v>106.8</v>
      </c>
      <c r="AA28">
        <v>113.7</v>
      </c>
      <c r="AB28">
        <f t="shared" si="0"/>
        <v>1373.3999999999999</v>
      </c>
      <c r="AC28">
        <v>109.7</v>
      </c>
      <c r="AD28">
        <v>110.5</v>
      </c>
      <c r="AE28">
        <f t="shared" si="1"/>
        <v>222.60000000000002</v>
      </c>
      <c r="AF28">
        <f t="shared" si="2"/>
        <v>764.5</v>
      </c>
      <c r="AG28">
        <f t="shared" si="3"/>
        <v>2580.6999999999998</v>
      </c>
    </row>
    <row r="29" spans="1:33" hidden="1" x14ac:dyDescent="0.25">
      <c r="A29" t="s">
        <v>26</v>
      </c>
      <c r="B29">
        <v>2013</v>
      </c>
      <c r="C29" t="s">
        <v>38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112.2</v>
      </c>
      <c r="Q29">
        <v>113.6</v>
      </c>
      <c r="R29">
        <v>112.3</v>
      </c>
      <c r="T29">
        <v>111.6</v>
      </c>
      <c r="U29">
        <v>110.4</v>
      </c>
      <c r="V29">
        <v>108.9</v>
      </c>
      <c r="W29">
        <v>109.3</v>
      </c>
      <c r="X29">
        <v>108.3</v>
      </c>
      <c r="Y29">
        <v>110.2</v>
      </c>
      <c r="Z29">
        <v>107.5</v>
      </c>
      <c r="AA29">
        <v>115.5</v>
      </c>
      <c r="AB29">
        <f t="shared" si="0"/>
        <v>1388.2</v>
      </c>
      <c r="AD29">
        <v>111.6</v>
      </c>
      <c r="AE29">
        <f t="shared" si="1"/>
        <v>225.89999999999998</v>
      </c>
      <c r="AF29">
        <f t="shared" si="2"/>
        <v>766.80000000000007</v>
      </c>
      <c r="AG29">
        <f t="shared" si="3"/>
        <v>2492.5</v>
      </c>
    </row>
    <row r="30" spans="1:33" hidden="1" x14ac:dyDescent="0.25">
      <c r="A30" t="s">
        <v>28</v>
      </c>
      <c r="B30">
        <v>2013</v>
      </c>
      <c r="C30" t="s">
        <v>38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113.5</v>
      </c>
      <c r="Q30">
        <v>112.5</v>
      </c>
      <c r="R30">
        <v>109.7</v>
      </c>
      <c r="S30">
        <v>110.5</v>
      </c>
      <c r="T30">
        <v>109.7</v>
      </c>
      <c r="U30">
        <v>110.2</v>
      </c>
      <c r="V30">
        <v>108.2</v>
      </c>
      <c r="W30">
        <v>109.7</v>
      </c>
      <c r="X30">
        <v>108</v>
      </c>
      <c r="Y30">
        <v>111.3</v>
      </c>
      <c r="Z30">
        <v>107.3</v>
      </c>
      <c r="AA30">
        <v>114</v>
      </c>
      <c r="AB30">
        <f t="shared" si="0"/>
        <v>1396.3999999999999</v>
      </c>
      <c r="AC30">
        <v>110.5</v>
      </c>
      <c r="AD30">
        <v>109.7</v>
      </c>
      <c r="AE30">
        <f t="shared" si="1"/>
        <v>222.2</v>
      </c>
      <c r="AF30">
        <f t="shared" si="2"/>
        <v>768.19999999999993</v>
      </c>
      <c r="AG30">
        <f t="shared" si="3"/>
        <v>2607</v>
      </c>
    </row>
    <row r="31" spans="1:33" hidden="1" x14ac:dyDescent="0.25">
      <c r="A31" t="s">
        <v>29</v>
      </c>
      <c r="B31">
        <v>2013</v>
      </c>
      <c r="C31" t="s">
        <v>38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112.5</v>
      </c>
      <c r="Q31">
        <v>113.2</v>
      </c>
      <c r="R31">
        <v>111.2</v>
      </c>
      <c r="S31">
        <v>110.5</v>
      </c>
      <c r="T31">
        <v>110.9</v>
      </c>
      <c r="U31">
        <v>110.3</v>
      </c>
      <c r="V31">
        <v>108.6</v>
      </c>
      <c r="W31">
        <v>109.5</v>
      </c>
      <c r="X31">
        <v>108.1</v>
      </c>
      <c r="Y31">
        <v>110.8</v>
      </c>
      <c r="Z31">
        <v>107.4</v>
      </c>
      <c r="AA31">
        <v>114.8</v>
      </c>
      <c r="AB31">
        <f t="shared" si="0"/>
        <v>1390.0000000000002</v>
      </c>
      <c r="AC31">
        <v>110.5</v>
      </c>
      <c r="AD31">
        <v>110.9</v>
      </c>
      <c r="AE31">
        <f t="shared" si="1"/>
        <v>224.4</v>
      </c>
      <c r="AF31">
        <f t="shared" si="2"/>
        <v>767.19999999999993</v>
      </c>
      <c r="AG31">
        <f t="shared" si="3"/>
        <v>2603.0000000000005</v>
      </c>
    </row>
    <row r="32" spans="1:33" hidden="1" x14ac:dyDescent="0.25">
      <c r="A32" t="s">
        <v>26</v>
      </c>
      <c r="B32">
        <v>2013</v>
      </c>
      <c r="C32" t="s">
        <v>39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112.8</v>
      </c>
      <c r="Q32">
        <v>114.6</v>
      </c>
      <c r="R32">
        <v>113.1</v>
      </c>
      <c r="T32">
        <v>112.6</v>
      </c>
      <c r="U32">
        <v>111.3</v>
      </c>
      <c r="V32">
        <v>109.7</v>
      </c>
      <c r="W32">
        <v>109.6</v>
      </c>
      <c r="X32">
        <v>108.7</v>
      </c>
      <c r="Y32">
        <v>111</v>
      </c>
      <c r="Z32">
        <v>108.2</v>
      </c>
      <c r="AA32">
        <v>117.4</v>
      </c>
      <c r="AB32">
        <f t="shared" si="0"/>
        <v>1414.3</v>
      </c>
      <c r="AD32">
        <v>112.6</v>
      </c>
      <c r="AE32">
        <f t="shared" si="1"/>
        <v>227.7</v>
      </c>
      <c r="AF32">
        <f t="shared" si="2"/>
        <v>771.3</v>
      </c>
      <c r="AG32">
        <f t="shared" si="3"/>
        <v>2525.8999999999996</v>
      </c>
    </row>
    <row r="33" spans="1:33" hidden="1" x14ac:dyDescent="0.25">
      <c r="A33" t="s">
        <v>28</v>
      </c>
      <c r="B33">
        <v>2013</v>
      </c>
      <c r="C33" t="s">
        <v>40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114.1</v>
      </c>
      <c r="Q33">
        <v>113.5</v>
      </c>
      <c r="R33">
        <v>110.3</v>
      </c>
      <c r="S33">
        <v>111.1</v>
      </c>
      <c r="T33">
        <v>110</v>
      </c>
      <c r="U33">
        <v>110.9</v>
      </c>
      <c r="V33">
        <v>108.6</v>
      </c>
      <c r="W33">
        <v>109.5</v>
      </c>
      <c r="X33">
        <v>108.5</v>
      </c>
      <c r="Y33">
        <v>111.3</v>
      </c>
      <c r="Z33">
        <v>107.9</v>
      </c>
      <c r="AA33">
        <v>115</v>
      </c>
      <c r="AB33">
        <f t="shared" si="0"/>
        <v>1421.6999999999998</v>
      </c>
      <c r="AC33">
        <v>111.1</v>
      </c>
      <c r="AD33">
        <v>110</v>
      </c>
      <c r="AE33">
        <f t="shared" si="1"/>
        <v>223.8</v>
      </c>
      <c r="AF33">
        <f t="shared" si="2"/>
        <v>770.8</v>
      </c>
      <c r="AG33">
        <f t="shared" si="3"/>
        <v>2637.3999999999996</v>
      </c>
    </row>
    <row r="34" spans="1:33" hidden="1" x14ac:dyDescent="0.25">
      <c r="A34" t="s">
        <v>29</v>
      </c>
      <c r="B34">
        <v>2013</v>
      </c>
      <c r="C34" t="s">
        <v>40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113.1</v>
      </c>
      <c r="Q34">
        <v>114.2</v>
      </c>
      <c r="R34">
        <v>111.9</v>
      </c>
      <c r="S34">
        <v>111.1</v>
      </c>
      <c r="T34">
        <v>111.6</v>
      </c>
      <c r="U34">
        <v>111.1</v>
      </c>
      <c r="V34">
        <v>109.3</v>
      </c>
      <c r="W34">
        <v>109.5</v>
      </c>
      <c r="X34">
        <v>108.6</v>
      </c>
      <c r="Y34">
        <v>111.2</v>
      </c>
      <c r="Z34">
        <v>108.1</v>
      </c>
      <c r="AA34">
        <v>116.3</v>
      </c>
      <c r="AB34">
        <f t="shared" si="0"/>
        <v>1416.2</v>
      </c>
      <c r="AC34">
        <v>111.1</v>
      </c>
      <c r="AD34">
        <v>111.6</v>
      </c>
      <c r="AE34">
        <f t="shared" si="1"/>
        <v>226.10000000000002</v>
      </c>
      <c r="AF34">
        <f t="shared" si="2"/>
        <v>770.90000000000009</v>
      </c>
      <c r="AG34">
        <f t="shared" si="3"/>
        <v>2635.9</v>
      </c>
    </row>
    <row r="35" spans="1:33" hidden="1" x14ac:dyDescent="0.25">
      <c r="A35" t="s">
        <v>26</v>
      </c>
      <c r="B35">
        <v>2013</v>
      </c>
      <c r="C35" t="s">
        <v>41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113.6</v>
      </c>
      <c r="Q35">
        <v>115.8</v>
      </c>
      <c r="R35">
        <v>114</v>
      </c>
      <c r="T35">
        <v>112.8</v>
      </c>
      <c r="U35">
        <v>112.1</v>
      </c>
      <c r="V35">
        <v>110.1</v>
      </c>
      <c r="W35">
        <v>109.9</v>
      </c>
      <c r="X35">
        <v>109.2</v>
      </c>
      <c r="Y35">
        <v>111.6</v>
      </c>
      <c r="Z35">
        <v>108.1</v>
      </c>
      <c r="AA35">
        <v>115.5</v>
      </c>
      <c r="AB35">
        <f t="shared" si="0"/>
        <v>1390.3</v>
      </c>
      <c r="AD35">
        <v>112.8</v>
      </c>
      <c r="AE35">
        <f t="shared" si="1"/>
        <v>229.8</v>
      </c>
      <c r="AF35">
        <f t="shared" si="2"/>
        <v>774.6</v>
      </c>
      <c r="AG35">
        <f t="shared" si="3"/>
        <v>2507.5</v>
      </c>
    </row>
    <row r="36" spans="1:33" hidden="1" x14ac:dyDescent="0.25">
      <c r="A36" t="s">
        <v>28</v>
      </c>
      <c r="B36">
        <v>2013</v>
      </c>
      <c r="C36" t="s">
        <v>41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115</v>
      </c>
      <c r="Q36">
        <v>114.2</v>
      </c>
      <c r="R36">
        <v>110.9</v>
      </c>
      <c r="S36">
        <v>110.7</v>
      </c>
      <c r="T36">
        <v>110.4</v>
      </c>
      <c r="U36">
        <v>111.3</v>
      </c>
      <c r="V36">
        <v>109</v>
      </c>
      <c r="W36">
        <v>109.7</v>
      </c>
      <c r="X36">
        <v>108.9</v>
      </c>
      <c r="Y36">
        <v>111.4</v>
      </c>
      <c r="Z36">
        <v>107.7</v>
      </c>
      <c r="AA36">
        <v>113.3</v>
      </c>
      <c r="AB36">
        <f t="shared" si="0"/>
        <v>1386.6000000000001</v>
      </c>
      <c r="AC36">
        <v>110.7</v>
      </c>
      <c r="AD36">
        <v>110.4</v>
      </c>
      <c r="AE36">
        <f t="shared" si="1"/>
        <v>225.10000000000002</v>
      </c>
      <c r="AF36">
        <f t="shared" si="2"/>
        <v>773</v>
      </c>
      <c r="AG36">
        <f t="shared" si="3"/>
        <v>2605.8000000000002</v>
      </c>
    </row>
    <row r="37" spans="1:33" hidden="1" x14ac:dyDescent="0.25">
      <c r="A37" t="s">
        <v>29</v>
      </c>
      <c r="B37">
        <v>2013</v>
      </c>
      <c r="C37" t="s">
        <v>41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114</v>
      </c>
      <c r="Q37">
        <v>115.2</v>
      </c>
      <c r="R37">
        <v>112.7</v>
      </c>
      <c r="S37">
        <v>110.7</v>
      </c>
      <c r="T37">
        <v>111.9</v>
      </c>
      <c r="U37">
        <v>111.7</v>
      </c>
      <c r="V37">
        <v>109.7</v>
      </c>
      <c r="W37">
        <v>109.8</v>
      </c>
      <c r="X37">
        <v>109</v>
      </c>
      <c r="Y37">
        <v>111.5</v>
      </c>
      <c r="Z37">
        <v>107.9</v>
      </c>
      <c r="AA37">
        <v>114.5</v>
      </c>
      <c r="AB37">
        <f t="shared" si="0"/>
        <v>1388.9</v>
      </c>
      <c r="AC37">
        <v>110.7</v>
      </c>
      <c r="AD37">
        <v>111.9</v>
      </c>
      <c r="AE37">
        <f t="shared" si="1"/>
        <v>227.9</v>
      </c>
      <c r="AF37">
        <f t="shared" si="2"/>
        <v>773.6</v>
      </c>
      <c r="AG37">
        <f t="shared" si="3"/>
        <v>2613.0000000000005</v>
      </c>
    </row>
    <row r="38" spans="1:33" hidden="1" x14ac:dyDescent="0.25">
      <c r="A38" t="s">
        <v>26</v>
      </c>
      <c r="B38">
        <v>2014</v>
      </c>
      <c r="C38" t="s">
        <v>27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114</v>
      </c>
      <c r="Q38">
        <v>116.5</v>
      </c>
      <c r="R38">
        <v>114.5</v>
      </c>
      <c r="T38">
        <v>113</v>
      </c>
      <c r="U38">
        <v>112.6</v>
      </c>
      <c r="V38">
        <v>110.6</v>
      </c>
      <c r="W38">
        <v>110.5</v>
      </c>
      <c r="X38">
        <v>109.6</v>
      </c>
      <c r="Y38">
        <v>111.8</v>
      </c>
      <c r="Z38">
        <v>108.3</v>
      </c>
      <c r="AA38">
        <v>114.2</v>
      </c>
      <c r="AB38">
        <f t="shared" si="0"/>
        <v>1370.6000000000001</v>
      </c>
      <c r="AD38">
        <v>113</v>
      </c>
      <c r="AE38">
        <f t="shared" si="1"/>
        <v>231</v>
      </c>
      <c r="AF38">
        <f t="shared" si="2"/>
        <v>777.39999999999986</v>
      </c>
      <c r="AG38">
        <f t="shared" si="3"/>
        <v>2492</v>
      </c>
    </row>
    <row r="39" spans="1:33" hidden="1" x14ac:dyDescent="0.25">
      <c r="A39" t="s">
        <v>28</v>
      </c>
      <c r="B39">
        <v>2014</v>
      </c>
      <c r="C39" t="s">
        <v>27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115.7</v>
      </c>
      <c r="Q39">
        <v>114.8</v>
      </c>
      <c r="R39">
        <v>111.3</v>
      </c>
      <c r="S39">
        <v>111.6</v>
      </c>
      <c r="T39">
        <v>111</v>
      </c>
      <c r="U39">
        <v>111.9</v>
      </c>
      <c r="V39">
        <v>109.7</v>
      </c>
      <c r="W39">
        <v>110.8</v>
      </c>
      <c r="X39">
        <v>109.8</v>
      </c>
      <c r="Y39">
        <v>111.5</v>
      </c>
      <c r="Z39">
        <v>108</v>
      </c>
      <c r="AA39">
        <v>112.9</v>
      </c>
      <c r="AB39">
        <f t="shared" si="0"/>
        <v>1368.8</v>
      </c>
      <c r="AC39">
        <v>111.6</v>
      </c>
      <c r="AD39">
        <v>111</v>
      </c>
      <c r="AE39">
        <f t="shared" si="1"/>
        <v>226.1</v>
      </c>
      <c r="AF39">
        <f t="shared" si="2"/>
        <v>777.40000000000009</v>
      </c>
      <c r="AG39">
        <f t="shared" si="3"/>
        <v>2594.8999999999996</v>
      </c>
    </row>
    <row r="40" spans="1:33" hidden="1" x14ac:dyDescent="0.25">
      <c r="A40" t="s">
        <v>29</v>
      </c>
      <c r="B40">
        <v>2014</v>
      </c>
      <c r="C40" t="s">
        <v>27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114.5</v>
      </c>
      <c r="Q40">
        <v>115.8</v>
      </c>
      <c r="R40">
        <v>113.2</v>
      </c>
      <c r="S40">
        <v>111.6</v>
      </c>
      <c r="T40">
        <v>112.2</v>
      </c>
      <c r="U40">
        <v>112.3</v>
      </c>
      <c r="V40">
        <v>110.3</v>
      </c>
      <c r="W40">
        <v>110.7</v>
      </c>
      <c r="X40">
        <v>109.7</v>
      </c>
      <c r="Y40">
        <v>111.6</v>
      </c>
      <c r="Z40">
        <v>108.2</v>
      </c>
      <c r="AA40">
        <v>113.6</v>
      </c>
      <c r="AB40">
        <f t="shared" si="0"/>
        <v>1369.9999999999998</v>
      </c>
      <c r="AC40">
        <v>111.6</v>
      </c>
      <c r="AD40">
        <v>112.2</v>
      </c>
      <c r="AE40">
        <f t="shared" si="1"/>
        <v>229</v>
      </c>
      <c r="AF40">
        <f t="shared" si="2"/>
        <v>777.30000000000007</v>
      </c>
      <c r="AG40">
        <f t="shared" si="3"/>
        <v>2600.1</v>
      </c>
    </row>
    <row r="41" spans="1:33" hidden="1" x14ac:dyDescent="0.25">
      <c r="A41" t="s">
        <v>26</v>
      </c>
      <c r="B41">
        <v>2014</v>
      </c>
      <c r="C41" t="s">
        <v>30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114.2</v>
      </c>
      <c r="Q41">
        <v>117.1</v>
      </c>
      <c r="R41">
        <v>114.5</v>
      </c>
      <c r="T41">
        <v>113.2</v>
      </c>
      <c r="U41">
        <v>112.9</v>
      </c>
      <c r="V41">
        <v>110.9</v>
      </c>
      <c r="W41">
        <v>110.8</v>
      </c>
      <c r="X41">
        <v>109.9</v>
      </c>
      <c r="Y41">
        <v>112</v>
      </c>
      <c r="Z41">
        <v>108.7</v>
      </c>
      <c r="AA41">
        <v>114</v>
      </c>
      <c r="AB41">
        <f t="shared" si="0"/>
        <v>1366.9</v>
      </c>
      <c r="AD41">
        <v>113.2</v>
      </c>
      <c r="AE41">
        <f t="shared" si="1"/>
        <v>231.6</v>
      </c>
      <c r="AF41">
        <f t="shared" si="2"/>
        <v>779.40000000000009</v>
      </c>
      <c r="AG41">
        <f t="shared" si="3"/>
        <v>2491.1000000000004</v>
      </c>
    </row>
    <row r="42" spans="1:33" hidden="1" x14ac:dyDescent="0.25">
      <c r="A42" t="s">
        <v>28</v>
      </c>
      <c r="B42">
        <v>2014</v>
      </c>
      <c r="C42" t="s">
        <v>30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116.2</v>
      </c>
      <c r="Q42">
        <v>115.3</v>
      </c>
      <c r="R42">
        <v>111.7</v>
      </c>
      <c r="S42">
        <v>112.5</v>
      </c>
      <c r="T42">
        <v>111.1</v>
      </c>
      <c r="U42">
        <v>112.6</v>
      </c>
      <c r="V42">
        <v>110.4</v>
      </c>
      <c r="W42">
        <v>111.3</v>
      </c>
      <c r="X42">
        <v>110.3</v>
      </c>
      <c r="Y42">
        <v>111.6</v>
      </c>
      <c r="Z42">
        <v>108.7</v>
      </c>
      <c r="AA42">
        <v>113.1</v>
      </c>
      <c r="AB42">
        <f t="shared" si="0"/>
        <v>1360.8</v>
      </c>
      <c r="AC42">
        <v>112.5</v>
      </c>
      <c r="AD42">
        <v>111.1</v>
      </c>
      <c r="AE42">
        <f t="shared" si="1"/>
        <v>227</v>
      </c>
      <c r="AF42">
        <f t="shared" si="2"/>
        <v>781.10000000000014</v>
      </c>
      <c r="AG42">
        <f t="shared" si="3"/>
        <v>2592.5</v>
      </c>
    </row>
    <row r="43" spans="1:33" hidden="1" x14ac:dyDescent="0.25">
      <c r="A43" t="s">
        <v>29</v>
      </c>
      <c r="B43">
        <v>2014</v>
      </c>
      <c r="C43" t="s">
        <v>30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114.7</v>
      </c>
      <c r="Q43">
        <v>116.4</v>
      </c>
      <c r="R43">
        <v>113.3</v>
      </c>
      <c r="S43">
        <v>112.5</v>
      </c>
      <c r="T43">
        <v>112.4</v>
      </c>
      <c r="U43">
        <v>112.8</v>
      </c>
      <c r="V43">
        <v>110.7</v>
      </c>
      <c r="W43">
        <v>111.1</v>
      </c>
      <c r="X43">
        <v>110.1</v>
      </c>
      <c r="Y43">
        <v>111.8</v>
      </c>
      <c r="Z43">
        <v>108.7</v>
      </c>
      <c r="AA43">
        <v>113.6</v>
      </c>
      <c r="AB43">
        <f t="shared" si="0"/>
        <v>1364.8</v>
      </c>
      <c r="AC43">
        <v>112.5</v>
      </c>
      <c r="AD43">
        <v>112.4</v>
      </c>
      <c r="AE43">
        <f t="shared" si="1"/>
        <v>229.7</v>
      </c>
      <c r="AF43">
        <f t="shared" si="2"/>
        <v>779.90000000000009</v>
      </c>
      <c r="AG43">
        <f t="shared" si="3"/>
        <v>2599.3000000000002</v>
      </c>
    </row>
    <row r="44" spans="1:33" hidden="1" x14ac:dyDescent="0.25">
      <c r="A44" t="s">
        <v>26</v>
      </c>
      <c r="B44">
        <v>2014</v>
      </c>
      <c r="C44" t="s">
        <v>31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114.6</v>
      </c>
      <c r="Q44">
        <v>117.5</v>
      </c>
      <c r="R44">
        <v>114.9</v>
      </c>
      <c r="T44">
        <v>113.4</v>
      </c>
      <c r="U44">
        <v>113.4</v>
      </c>
      <c r="V44">
        <v>111.4</v>
      </c>
      <c r="W44">
        <v>111.2</v>
      </c>
      <c r="X44">
        <v>110.2</v>
      </c>
      <c r="Y44">
        <v>112.4</v>
      </c>
      <c r="Z44">
        <v>108.9</v>
      </c>
      <c r="AA44">
        <v>114.6</v>
      </c>
      <c r="AB44">
        <f t="shared" si="0"/>
        <v>1375.2</v>
      </c>
      <c r="AD44">
        <v>113.4</v>
      </c>
      <c r="AE44">
        <f t="shared" si="1"/>
        <v>232.4</v>
      </c>
      <c r="AF44">
        <f t="shared" si="2"/>
        <v>782.1</v>
      </c>
      <c r="AG44">
        <f t="shared" si="3"/>
        <v>2503.1000000000004</v>
      </c>
    </row>
    <row r="45" spans="1:33" hidden="1" x14ac:dyDescent="0.25">
      <c r="A45" t="s">
        <v>28</v>
      </c>
      <c r="B45">
        <v>2014</v>
      </c>
      <c r="C45" t="s">
        <v>31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116.7</v>
      </c>
      <c r="Q45">
        <v>115.8</v>
      </c>
      <c r="R45">
        <v>112.1</v>
      </c>
      <c r="S45">
        <v>113.2</v>
      </c>
      <c r="T45">
        <v>110.9</v>
      </c>
      <c r="U45">
        <v>113</v>
      </c>
      <c r="V45">
        <v>110.8</v>
      </c>
      <c r="W45">
        <v>111.6</v>
      </c>
      <c r="X45">
        <v>110.9</v>
      </c>
      <c r="Y45">
        <v>111.8</v>
      </c>
      <c r="Z45">
        <v>109.2</v>
      </c>
      <c r="AA45">
        <v>113.7</v>
      </c>
      <c r="AB45">
        <f t="shared" si="0"/>
        <v>1367</v>
      </c>
      <c r="AC45">
        <v>113.2</v>
      </c>
      <c r="AD45">
        <v>110.9</v>
      </c>
      <c r="AE45">
        <f t="shared" si="1"/>
        <v>227.89999999999998</v>
      </c>
      <c r="AF45">
        <f t="shared" si="2"/>
        <v>784</v>
      </c>
      <c r="AG45">
        <f t="shared" si="3"/>
        <v>2603</v>
      </c>
    </row>
    <row r="46" spans="1:33" hidden="1" x14ac:dyDescent="0.25">
      <c r="A46" t="s">
        <v>29</v>
      </c>
      <c r="B46">
        <v>2014</v>
      </c>
      <c r="C46" t="s">
        <v>31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115.2</v>
      </c>
      <c r="Q46">
        <v>116.8</v>
      </c>
      <c r="R46">
        <v>113.7</v>
      </c>
      <c r="S46">
        <v>113.2</v>
      </c>
      <c r="T46">
        <v>112.5</v>
      </c>
      <c r="U46">
        <v>113.2</v>
      </c>
      <c r="V46">
        <v>111.2</v>
      </c>
      <c r="W46">
        <v>111.4</v>
      </c>
      <c r="X46">
        <v>110.6</v>
      </c>
      <c r="Y46">
        <v>112</v>
      </c>
      <c r="Z46">
        <v>109</v>
      </c>
      <c r="AA46">
        <v>114.2</v>
      </c>
      <c r="AB46">
        <f t="shared" si="0"/>
        <v>1372.1999999999998</v>
      </c>
      <c r="AC46">
        <v>113.2</v>
      </c>
      <c r="AD46">
        <v>112.5</v>
      </c>
      <c r="AE46">
        <f t="shared" si="1"/>
        <v>230.5</v>
      </c>
      <c r="AF46">
        <f t="shared" si="2"/>
        <v>782.6</v>
      </c>
      <c r="AG46">
        <f t="shared" si="3"/>
        <v>2611</v>
      </c>
    </row>
    <row r="47" spans="1:33" hidden="1" x14ac:dyDescent="0.25">
      <c r="A47" t="s">
        <v>26</v>
      </c>
      <c r="B47">
        <v>2014</v>
      </c>
      <c r="C47" t="s">
        <v>32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115.4</v>
      </c>
      <c r="Q47">
        <v>118.1</v>
      </c>
      <c r="R47">
        <v>116.1</v>
      </c>
      <c r="T47">
        <v>113.4</v>
      </c>
      <c r="U47">
        <v>113.7</v>
      </c>
      <c r="V47">
        <v>111.8</v>
      </c>
      <c r="W47">
        <v>111.2</v>
      </c>
      <c r="X47">
        <v>110.5</v>
      </c>
      <c r="Y47">
        <v>113</v>
      </c>
      <c r="Z47">
        <v>108.9</v>
      </c>
      <c r="AA47">
        <v>115.4</v>
      </c>
      <c r="AB47">
        <f t="shared" si="0"/>
        <v>1386.9</v>
      </c>
      <c r="AD47">
        <v>113.4</v>
      </c>
      <c r="AE47">
        <f t="shared" si="1"/>
        <v>234.2</v>
      </c>
      <c r="AF47">
        <f t="shared" si="2"/>
        <v>784.5</v>
      </c>
      <c r="AG47">
        <f t="shared" si="3"/>
        <v>2519</v>
      </c>
    </row>
    <row r="48" spans="1:33" hidden="1" x14ac:dyDescent="0.25">
      <c r="A48" t="s">
        <v>28</v>
      </c>
      <c r="B48">
        <v>2014</v>
      </c>
      <c r="C48" t="s">
        <v>32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117.6</v>
      </c>
      <c r="Q48">
        <v>116.3</v>
      </c>
      <c r="R48">
        <v>112.5</v>
      </c>
      <c r="S48">
        <v>113.9</v>
      </c>
      <c r="T48">
        <v>110.9</v>
      </c>
      <c r="U48">
        <v>113.4</v>
      </c>
      <c r="V48">
        <v>111</v>
      </c>
      <c r="W48">
        <v>111.2</v>
      </c>
      <c r="X48">
        <v>111.2</v>
      </c>
      <c r="Y48">
        <v>112.5</v>
      </c>
      <c r="Z48">
        <v>109.1</v>
      </c>
      <c r="AA48">
        <v>114.7</v>
      </c>
      <c r="AB48">
        <f t="shared" si="0"/>
        <v>1385.8000000000002</v>
      </c>
      <c r="AC48">
        <v>113.9</v>
      </c>
      <c r="AD48">
        <v>110.9</v>
      </c>
      <c r="AE48">
        <f t="shared" si="1"/>
        <v>228.8</v>
      </c>
      <c r="AF48">
        <f t="shared" si="2"/>
        <v>786</v>
      </c>
      <c r="AG48">
        <f t="shared" si="3"/>
        <v>2625.4000000000005</v>
      </c>
    </row>
    <row r="49" spans="1:33" hidden="1" x14ac:dyDescent="0.25">
      <c r="A49" t="s">
        <v>29</v>
      </c>
      <c r="B49">
        <v>2014</v>
      </c>
      <c r="C49" t="s">
        <v>32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116</v>
      </c>
      <c r="Q49">
        <v>117.4</v>
      </c>
      <c r="R49">
        <v>114.6</v>
      </c>
      <c r="S49">
        <v>113.9</v>
      </c>
      <c r="T49">
        <v>112.5</v>
      </c>
      <c r="U49">
        <v>113.6</v>
      </c>
      <c r="V49">
        <v>111.5</v>
      </c>
      <c r="W49">
        <v>111.2</v>
      </c>
      <c r="X49">
        <v>110.9</v>
      </c>
      <c r="Y49">
        <v>112.7</v>
      </c>
      <c r="Z49">
        <v>109</v>
      </c>
      <c r="AA49">
        <v>115.1</v>
      </c>
      <c r="AB49">
        <f t="shared" si="0"/>
        <v>1386.5</v>
      </c>
      <c r="AC49">
        <v>113.9</v>
      </c>
      <c r="AD49">
        <v>112.5</v>
      </c>
      <c r="AE49">
        <f t="shared" si="1"/>
        <v>232</v>
      </c>
      <c r="AF49">
        <f t="shared" si="2"/>
        <v>784.90000000000009</v>
      </c>
      <c r="AG49">
        <f t="shared" si="3"/>
        <v>2629.8</v>
      </c>
    </row>
    <row r="50" spans="1:33" hidden="1" x14ac:dyDescent="0.25">
      <c r="A50" t="s">
        <v>26</v>
      </c>
      <c r="B50">
        <v>2014</v>
      </c>
      <c r="C50" t="s">
        <v>33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116.3</v>
      </c>
      <c r="Q50">
        <v>118.7</v>
      </c>
      <c r="R50">
        <v>116.8</v>
      </c>
      <c r="T50">
        <v>113.4</v>
      </c>
      <c r="U50">
        <v>114.1</v>
      </c>
      <c r="V50">
        <v>112.1</v>
      </c>
      <c r="W50">
        <v>111.4</v>
      </c>
      <c r="X50">
        <v>110.9</v>
      </c>
      <c r="Y50">
        <v>113.1</v>
      </c>
      <c r="Z50">
        <v>108.9</v>
      </c>
      <c r="AA50">
        <v>116</v>
      </c>
      <c r="AB50">
        <f t="shared" si="0"/>
        <v>1395.6999999999998</v>
      </c>
      <c r="AD50">
        <v>113.4</v>
      </c>
      <c r="AE50">
        <f t="shared" si="1"/>
        <v>235.5</v>
      </c>
      <c r="AF50">
        <f t="shared" si="2"/>
        <v>786.8</v>
      </c>
      <c r="AG50">
        <f t="shared" si="3"/>
        <v>2531.3999999999996</v>
      </c>
    </row>
    <row r="51" spans="1:33" hidden="1" x14ac:dyDescent="0.25">
      <c r="A51" t="s">
        <v>28</v>
      </c>
      <c r="B51">
        <v>2014</v>
      </c>
      <c r="C51" t="s">
        <v>33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118.3</v>
      </c>
      <c r="Q51">
        <v>116.8</v>
      </c>
      <c r="R51">
        <v>112.9</v>
      </c>
      <c r="S51">
        <v>114.3</v>
      </c>
      <c r="T51">
        <v>111.1</v>
      </c>
      <c r="U51">
        <v>114.1</v>
      </c>
      <c r="V51">
        <v>111.2</v>
      </c>
      <c r="W51">
        <v>111.3</v>
      </c>
      <c r="X51">
        <v>111.5</v>
      </c>
      <c r="Y51">
        <v>112.9</v>
      </c>
      <c r="Z51">
        <v>109.3</v>
      </c>
      <c r="AA51">
        <v>115.6</v>
      </c>
      <c r="AB51">
        <f t="shared" si="0"/>
        <v>1405.3000000000002</v>
      </c>
      <c r="AC51">
        <v>114.3</v>
      </c>
      <c r="AD51">
        <v>111.1</v>
      </c>
      <c r="AE51">
        <f t="shared" si="1"/>
        <v>229.7</v>
      </c>
      <c r="AF51">
        <f t="shared" si="2"/>
        <v>788.59999999999991</v>
      </c>
      <c r="AG51">
        <f t="shared" si="3"/>
        <v>2649</v>
      </c>
    </row>
    <row r="52" spans="1:33" hidden="1" x14ac:dyDescent="0.25">
      <c r="A52" t="s">
        <v>29</v>
      </c>
      <c r="B52">
        <v>2014</v>
      </c>
      <c r="C52" t="s">
        <v>33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116.8</v>
      </c>
      <c r="Q52">
        <v>118</v>
      </c>
      <c r="R52">
        <v>115.2</v>
      </c>
      <c r="S52">
        <v>114.3</v>
      </c>
      <c r="T52">
        <v>112.5</v>
      </c>
      <c r="U52">
        <v>114.1</v>
      </c>
      <c r="V52">
        <v>111.8</v>
      </c>
      <c r="W52">
        <v>111.3</v>
      </c>
      <c r="X52">
        <v>111.2</v>
      </c>
      <c r="Y52">
        <v>113</v>
      </c>
      <c r="Z52">
        <v>109.1</v>
      </c>
      <c r="AA52">
        <v>115.8</v>
      </c>
      <c r="AB52">
        <f t="shared" si="0"/>
        <v>1399.6000000000004</v>
      </c>
      <c r="AC52">
        <v>114.3</v>
      </c>
      <c r="AD52">
        <v>112.5</v>
      </c>
      <c r="AE52">
        <f t="shared" si="1"/>
        <v>233.2</v>
      </c>
      <c r="AF52">
        <f t="shared" si="2"/>
        <v>787.3</v>
      </c>
      <c r="AG52">
        <f t="shared" si="3"/>
        <v>2646.9000000000005</v>
      </c>
    </row>
    <row r="53" spans="1:33" hidden="1" x14ac:dyDescent="0.25">
      <c r="A53" t="s">
        <v>26</v>
      </c>
      <c r="B53">
        <v>2014</v>
      </c>
      <c r="C53" t="s">
        <v>34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117.3</v>
      </c>
      <c r="Q53">
        <v>119.7</v>
      </c>
      <c r="R53">
        <v>117.3</v>
      </c>
      <c r="T53">
        <v>114.4</v>
      </c>
      <c r="U53">
        <v>114.9</v>
      </c>
      <c r="V53">
        <v>112.8</v>
      </c>
      <c r="W53">
        <v>112.2</v>
      </c>
      <c r="X53">
        <v>111.4</v>
      </c>
      <c r="Y53">
        <v>114.3</v>
      </c>
      <c r="Z53">
        <v>108</v>
      </c>
      <c r="AA53">
        <v>117</v>
      </c>
      <c r="AB53">
        <f t="shared" si="0"/>
        <v>1406.1999999999998</v>
      </c>
      <c r="AD53">
        <v>114.4</v>
      </c>
      <c r="AE53">
        <f t="shared" si="1"/>
        <v>237</v>
      </c>
      <c r="AF53">
        <f t="shared" si="2"/>
        <v>790.89999999999986</v>
      </c>
      <c r="AG53">
        <f t="shared" si="3"/>
        <v>2548.5</v>
      </c>
    </row>
    <row r="54" spans="1:33" hidden="1" x14ac:dyDescent="0.25">
      <c r="A54" t="s">
        <v>28</v>
      </c>
      <c r="B54">
        <v>2014</v>
      </c>
      <c r="C54" t="s">
        <v>34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119</v>
      </c>
      <c r="Q54">
        <v>117.4</v>
      </c>
      <c r="R54">
        <v>113.2</v>
      </c>
      <c r="S54">
        <v>113.9</v>
      </c>
      <c r="T54">
        <v>111.2</v>
      </c>
      <c r="U54">
        <v>114.3</v>
      </c>
      <c r="V54">
        <v>111.4</v>
      </c>
      <c r="W54">
        <v>111.5</v>
      </c>
      <c r="X54">
        <v>111.8</v>
      </c>
      <c r="Y54">
        <v>115.1</v>
      </c>
      <c r="Z54">
        <v>108.7</v>
      </c>
      <c r="AA54">
        <v>116.4</v>
      </c>
      <c r="AB54">
        <f t="shared" si="0"/>
        <v>1425</v>
      </c>
      <c r="AC54">
        <v>113.9</v>
      </c>
      <c r="AD54">
        <v>111.2</v>
      </c>
      <c r="AE54">
        <f t="shared" si="1"/>
        <v>230.60000000000002</v>
      </c>
      <c r="AF54">
        <f t="shared" si="2"/>
        <v>791.80000000000007</v>
      </c>
      <c r="AG54">
        <f t="shared" si="3"/>
        <v>2672.5000000000005</v>
      </c>
    </row>
    <row r="55" spans="1:33" hidden="1" x14ac:dyDescent="0.25">
      <c r="A55" t="s">
        <v>29</v>
      </c>
      <c r="B55">
        <v>2014</v>
      </c>
      <c r="C55" t="s">
        <v>34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117.8</v>
      </c>
      <c r="Q55">
        <v>118.8</v>
      </c>
      <c r="R55">
        <v>115.6</v>
      </c>
      <c r="S55">
        <v>113.9</v>
      </c>
      <c r="T55">
        <v>113.2</v>
      </c>
      <c r="U55">
        <v>114.6</v>
      </c>
      <c r="V55">
        <v>112.3</v>
      </c>
      <c r="W55">
        <v>111.8</v>
      </c>
      <c r="X55">
        <v>111.6</v>
      </c>
      <c r="Y55">
        <v>114.8</v>
      </c>
      <c r="Z55">
        <v>108.3</v>
      </c>
      <c r="AA55">
        <v>116.7</v>
      </c>
      <c r="AB55">
        <f t="shared" si="0"/>
        <v>1413.3000000000002</v>
      </c>
      <c r="AC55">
        <v>113.9</v>
      </c>
      <c r="AD55">
        <v>113.2</v>
      </c>
      <c r="AE55">
        <f t="shared" si="1"/>
        <v>234.39999999999998</v>
      </c>
      <c r="AF55">
        <f t="shared" si="2"/>
        <v>791.19999999999982</v>
      </c>
      <c r="AG55">
        <f t="shared" si="3"/>
        <v>2666</v>
      </c>
    </row>
    <row r="56" spans="1:33" hidden="1" x14ac:dyDescent="0.25">
      <c r="A56" t="s">
        <v>26</v>
      </c>
      <c r="B56">
        <v>2014</v>
      </c>
      <c r="C56" t="s">
        <v>35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118</v>
      </c>
      <c r="Q56">
        <v>120.7</v>
      </c>
      <c r="R56">
        <v>118.3</v>
      </c>
      <c r="T56">
        <v>115.3</v>
      </c>
      <c r="U56">
        <v>115.4</v>
      </c>
      <c r="V56">
        <v>113.4</v>
      </c>
      <c r="W56">
        <v>113.2</v>
      </c>
      <c r="X56">
        <v>111.8</v>
      </c>
      <c r="Y56">
        <v>115.5</v>
      </c>
      <c r="Z56">
        <v>108.8</v>
      </c>
      <c r="AA56">
        <v>119.5</v>
      </c>
      <c r="AB56">
        <f t="shared" si="0"/>
        <v>1439.9</v>
      </c>
      <c r="AD56">
        <v>115.3</v>
      </c>
      <c r="AE56">
        <f t="shared" si="1"/>
        <v>239</v>
      </c>
      <c r="AF56">
        <f t="shared" si="2"/>
        <v>796.09999999999991</v>
      </c>
      <c r="AG56">
        <f t="shared" si="3"/>
        <v>2590.3000000000002</v>
      </c>
    </row>
    <row r="57" spans="1:33" hidden="1" x14ac:dyDescent="0.25">
      <c r="A57" t="s">
        <v>28</v>
      </c>
      <c r="B57">
        <v>2014</v>
      </c>
      <c r="C57" t="s">
        <v>35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121</v>
      </c>
      <c r="Q57">
        <v>118</v>
      </c>
      <c r="R57">
        <v>113.6</v>
      </c>
      <c r="S57">
        <v>114.8</v>
      </c>
      <c r="T57">
        <v>111.6</v>
      </c>
      <c r="U57">
        <v>114.9</v>
      </c>
      <c r="V57">
        <v>111.5</v>
      </c>
      <c r="W57">
        <v>113</v>
      </c>
      <c r="X57">
        <v>112.4</v>
      </c>
      <c r="Y57">
        <v>117.8</v>
      </c>
      <c r="Z57">
        <v>109.7</v>
      </c>
      <c r="AA57">
        <v>118.9</v>
      </c>
      <c r="AB57">
        <f t="shared" si="0"/>
        <v>1472.4</v>
      </c>
      <c r="AC57">
        <v>114.8</v>
      </c>
      <c r="AD57">
        <v>111.6</v>
      </c>
      <c r="AE57">
        <f t="shared" si="1"/>
        <v>231.6</v>
      </c>
      <c r="AF57">
        <f t="shared" si="2"/>
        <v>800.3</v>
      </c>
      <c r="AG57">
        <f t="shared" si="3"/>
        <v>2730.7</v>
      </c>
    </row>
    <row r="58" spans="1:33" hidden="1" x14ac:dyDescent="0.25">
      <c r="A58" t="s">
        <v>29</v>
      </c>
      <c r="B58">
        <v>2014</v>
      </c>
      <c r="C58" t="s">
        <v>35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118.8</v>
      </c>
      <c r="Q58">
        <v>119.6</v>
      </c>
      <c r="R58">
        <v>116.3</v>
      </c>
      <c r="S58">
        <v>114.8</v>
      </c>
      <c r="T58">
        <v>113.9</v>
      </c>
      <c r="U58">
        <v>115.2</v>
      </c>
      <c r="V58">
        <v>112.7</v>
      </c>
      <c r="W58">
        <v>113.1</v>
      </c>
      <c r="X58">
        <v>112.1</v>
      </c>
      <c r="Y58">
        <v>116.8</v>
      </c>
      <c r="Z58">
        <v>109.2</v>
      </c>
      <c r="AA58">
        <v>119.2</v>
      </c>
      <c r="AB58">
        <f t="shared" si="0"/>
        <v>1451.6</v>
      </c>
      <c r="AC58">
        <v>114.8</v>
      </c>
      <c r="AD58">
        <v>113.9</v>
      </c>
      <c r="AE58">
        <f t="shared" si="1"/>
        <v>235.89999999999998</v>
      </c>
      <c r="AF58">
        <f t="shared" si="2"/>
        <v>797.9</v>
      </c>
      <c r="AG58">
        <f t="shared" si="3"/>
        <v>2714.1</v>
      </c>
    </row>
    <row r="59" spans="1:33" hidden="1" x14ac:dyDescent="0.25">
      <c r="A59" t="s">
        <v>26</v>
      </c>
      <c r="B59">
        <v>2014</v>
      </c>
      <c r="C59" t="s">
        <v>36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118.8</v>
      </c>
      <c r="Q59">
        <v>120.9</v>
      </c>
      <c r="R59">
        <v>118.8</v>
      </c>
      <c r="T59">
        <v>115.4</v>
      </c>
      <c r="U59">
        <v>115.9</v>
      </c>
      <c r="V59">
        <v>114</v>
      </c>
      <c r="W59">
        <v>113.2</v>
      </c>
      <c r="X59">
        <v>112.2</v>
      </c>
      <c r="Y59">
        <v>116.2</v>
      </c>
      <c r="Z59">
        <v>109.4</v>
      </c>
      <c r="AA59">
        <v>120.7</v>
      </c>
      <c r="AB59">
        <f t="shared" si="0"/>
        <v>1456.9999999999998</v>
      </c>
      <c r="AD59">
        <v>115.4</v>
      </c>
      <c r="AE59">
        <f t="shared" si="1"/>
        <v>239.7</v>
      </c>
      <c r="AF59">
        <f t="shared" si="2"/>
        <v>799.69999999999993</v>
      </c>
      <c r="AG59">
        <f t="shared" si="3"/>
        <v>2611.7999999999997</v>
      </c>
    </row>
    <row r="60" spans="1:33" hidden="1" x14ac:dyDescent="0.25">
      <c r="A60" t="s">
        <v>28</v>
      </c>
      <c r="B60">
        <v>2014</v>
      </c>
      <c r="C60" t="s">
        <v>36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123</v>
      </c>
      <c r="Q60">
        <v>118.6</v>
      </c>
      <c r="R60">
        <v>114.1</v>
      </c>
      <c r="S60">
        <v>115.5</v>
      </c>
      <c r="T60">
        <v>111.8</v>
      </c>
      <c r="U60">
        <v>115.3</v>
      </c>
      <c r="V60">
        <v>112.2</v>
      </c>
      <c r="W60">
        <v>112.5</v>
      </c>
      <c r="X60">
        <v>112.9</v>
      </c>
      <c r="Y60">
        <v>119.2</v>
      </c>
      <c r="Z60">
        <v>110.5</v>
      </c>
      <c r="AA60">
        <v>119.9</v>
      </c>
      <c r="AB60">
        <f t="shared" si="0"/>
        <v>1488.1</v>
      </c>
      <c r="AC60">
        <v>115.5</v>
      </c>
      <c r="AD60">
        <v>111.8</v>
      </c>
      <c r="AE60">
        <f t="shared" si="1"/>
        <v>232.7</v>
      </c>
      <c r="AF60">
        <f t="shared" si="2"/>
        <v>805.6</v>
      </c>
      <c r="AG60">
        <f t="shared" si="3"/>
        <v>2753.7</v>
      </c>
    </row>
    <row r="61" spans="1:33" hidden="1" x14ac:dyDescent="0.25">
      <c r="A61" t="s">
        <v>29</v>
      </c>
      <c r="B61">
        <v>2014</v>
      </c>
      <c r="C61" t="s">
        <v>36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119.9</v>
      </c>
      <c r="Q61">
        <v>120</v>
      </c>
      <c r="R61">
        <v>116.8</v>
      </c>
      <c r="S61">
        <v>115.5</v>
      </c>
      <c r="T61">
        <v>114</v>
      </c>
      <c r="U61">
        <v>115.6</v>
      </c>
      <c r="V61">
        <v>113.3</v>
      </c>
      <c r="W61">
        <v>112.8</v>
      </c>
      <c r="X61">
        <v>112.6</v>
      </c>
      <c r="Y61">
        <v>118</v>
      </c>
      <c r="Z61">
        <v>109.9</v>
      </c>
      <c r="AA61">
        <v>120.3</v>
      </c>
      <c r="AB61">
        <f t="shared" si="0"/>
        <v>1467.8999999999999</v>
      </c>
      <c r="AC61">
        <v>115.5</v>
      </c>
      <c r="AD61">
        <v>114</v>
      </c>
      <c r="AE61">
        <f t="shared" si="1"/>
        <v>236.8</v>
      </c>
      <c r="AF61">
        <f t="shared" si="2"/>
        <v>802.09999999999991</v>
      </c>
      <c r="AG61">
        <f t="shared" si="3"/>
        <v>2736.2999999999997</v>
      </c>
    </row>
    <row r="62" spans="1:33" hidden="1" x14ac:dyDescent="0.25">
      <c r="A62" t="s">
        <v>26</v>
      </c>
      <c r="B62">
        <v>2014</v>
      </c>
      <c r="C62" t="s">
        <v>37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119.5</v>
      </c>
      <c r="Q62">
        <v>121.7</v>
      </c>
      <c r="R62">
        <v>119.2</v>
      </c>
      <c r="T62">
        <v>115.8</v>
      </c>
      <c r="U62">
        <v>116.7</v>
      </c>
      <c r="V62">
        <v>114.5</v>
      </c>
      <c r="W62">
        <v>112.8</v>
      </c>
      <c r="X62">
        <v>112.6</v>
      </c>
      <c r="Y62">
        <v>116.6</v>
      </c>
      <c r="Z62">
        <v>109.1</v>
      </c>
      <c r="AA62">
        <v>120.9</v>
      </c>
      <c r="AB62">
        <f t="shared" si="0"/>
        <v>1457.9</v>
      </c>
      <c r="AD62">
        <v>115.8</v>
      </c>
      <c r="AE62">
        <f t="shared" si="1"/>
        <v>240.9</v>
      </c>
      <c r="AF62">
        <f t="shared" si="2"/>
        <v>801.80000000000007</v>
      </c>
      <c r="AG62">
        <f t="shared" si="3"/>
        <v>2616.4</v>
      </c>
    </row>
    <row r="63" spans="1:33" hidden="1" x14ac:dyDescent="0.25">
      <c r="A63" t="s">
        <v>28</v>
      </c>
      <c r="B63">
        <v>2014</v>
      </c>
      <c r="C63" t="s">
        <v>37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124.3</v>
      </c>
      <c r="Q63">
        <v>119.2</v>
      </c>
      <c r="R63">
        <v>114.5</v>
      </c>
      <c r="S63">
        <v>116.1</v>
      </c>
      <c r="T63">
        <v>111.8</v>
      </c>
      <c r="U63">
        <v>115.5</v>
      </c>
      <c r="V63">
        <v>112.3</v>
      </c>
      <c r="W63">
        <v>111.2</v>
      </c>
      <c r="X63">
        <v>113.4</v>
      </c>
      <c r="Y63">
        <v>120</v>
      </c>
      <c r="Z63">
        <v>110</v>
      </c>
      <c r="AA63">
        <v>119.2</v>
      </c>
      <c r="AB63">
        <f t="shared" si="0"/>
        <v>1467.0000000000002</v>
      </c>
      <c r="AC63">
        <v>116.1</v>
      </c>
      <c r="AD63">
        <v>111.8</v>
      </c>
      <c r="AE63">
        <f t="shared" si="1"/>
        <v>233.7</v>
      </c>
      <c r="AF63">
        <f t="shared" si="2"/>
        <v>806.69999999999993</v>
      </c>
      <c r="AG63">
        <f t="shared" si="3"/>
        <v>2735.3</v>
      </c>
    </row>
    <row r="64" spans="1:33" hidden="1" x14ac:dyDescent="0.25">
      <c r="A64" t="s">
        <v>29</v>
      </c>
      <c r="B64">
        <v>2014</v>
      </c>
      <c r="C64" t="s">
        <v>37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120.8</v>
      </c>
      <c r="Q64">
        <v>120.7</v>
      </c>
      <c r="R64">
        <v>117.2</v>
      </c>
      <c r="S64">
        <v>116.1</v>
      </c>
      <c r="T64">
        <v>114.3</v>
      </c>
      <c r="U64">
        <v>116.1</v>
      </c>
      <c r="V64">
        <v>113.7</v>
      </c>
      <c r="W64">
        <v>112</v>
      </c>
      <c r="X64">
        <v>113.1</v>
      </c>
      <c r="Y64">
        <v>118.6</v>
      </c>
      <c r="Z64">
        <v>109.5</v>
      </c>
      <c r="AA64">
        <v>120.1</v>
      </c>
      <c r="AB64">
        <f t="shared" si="0"/>
        <v>1460.2999999999997</v>
      </c>
      <c r="AC64">
        <v>116.1</v>
      </c>
      <c r="AD64">
        <v>114.3</v>
      </c>
      <c r="AE64">
        <f t="shared" si="1"/>
        <v>237.9</v>
      </c>
      <c r="AF64">
        <f t="shared" si="2"/>
        <v>803.8</v>
      </c>
      <c r="AG64">
        <f t="shared" si="3"/>
        <v>2732.3999999999996</v>
      </c>
    </row>
    <row r="65" spans="1:33" hidden="1" x14ac:dyDescent="0.25">
      <c r="A65" t="s">
        <v>26</v>
      </c>
      <c r="B65">
        <v>2014</v>
      </c>
      <c r="C65" t="s">
        <v>38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120</v>
      </c>
      <c r="Q65">
        <v>122.7</v>
      </c>
      <c r="R65">
        <v>120.3</v>
      </c>
      <c r="T65">
        <v>116.4</v>
      </c>
      <c r="U65">
        <v>117.5</v>
      </c>
      <c r="V65">
        <v>115.3</v>
      </c>
      <c r="W65">
        <v>112.6</v>
      </c>
      <c r="X65">
        <v>113</v>
      </c>
      <c r="Y65">
        <v>116.9</v>
      </c>
      <c r="Z65">
        <v>109.3</v>
      </c>
      <c r="AA65">
        <v>121</v>
      </c>
      <c r="AB65">
        <f t="shared" si="0"/>
        <v>1456.1</v>
      </c>
      <c r="AD65">
        <v>116.4</v>
      </c>
      <c r="AE65">
        <f t="shared" si="1"/>
        <v>243</v>
      </c>
      <c r="AF65">
        <f t="shared" si="2"/>
        <v>804.59999999999991</v>
      </c>
      <c r="AG65">
        <f t="shared" si="3"/>
        <v>2620.1</v>
      </c>
    </row>
    <row r="66" spans="1:33" hidden="1" x14ac:dyDescent="0.25">
      <c r="A66" t="s">
        <v>28</v>
      </c>
      <c r="B66">
        <v>2014</v>
      </c>
      <c r="C66" t="s">
        <v>38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124.3</v>
      </c>
      <c r="Q66">
        <v>119.6</v>
      </c>
      <c r="R66">
        <v>114.9</v>
      </c>
      <c r="S66">
        <v>116.7</v>
      </c>
      <c r="T66">
        <v>112</v>
      </c>
      <c r="U66">
        <v>115.8</v>
      </c>
      <c r="V66">
        <v>112.6</v>
      </c>
      <c r="W66">
        <v>111</v>
      </c>
      <c r="X66">
        <v>113.6</v>
      </c>
      <c r="Y66">
        <v>120.2</v>
      </c>
      <c r="Z66">
        <v>110.1</v>
      </c>
      <c r="AA66">
        <v>119.1</v>
      </c>
      <c r="AB66">
        <f t="shared" si="0"/>
        <v>1461.7</v>
      </c>
      <c r="AC66">
        <v>116.7</v>
      </c>
      <c r="AD66">
        <v>112</v>
      </c>
      <c r="AE66">
        <f t="shared" si="1"/>
        <v>234.5</v>
      </c>
      <c r="AF66">
        <f t="shared" si="2"/>
        <v>807.6</v>
      </c>
      <c r="AG66">
        <f t="shared" si="3"/>
        <v>2732.5</v>
      </c>
    </row>
    <row r="67" spans="1:33" hidden="1" x14ac:dyDescent="0.25">
      <c r="A67" t="s">
        <v>29</v>
      </c>
      <c r="B67">
        <v>2014</v>
      </c>
      <c r="C67" t="s">
        <v>38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121.1</v>
      </c>
      <c r="Q67">
        <v>121.5</v>
      </c>
      <c r="R67">
        <v>118.1</v>
      </c>
      <c r="S67">
        <v>116.7</v>
      </c>
      <c r="T67">
        <v>114.7</v>
      </c>
      <c r="U67">
        <v>116.7</v>
      </c>
      <c r="V67">
        <v>114.3</v>
      </c>
      <c r="W67">
        <v>111.8</v>
      </c>
      <c r="X67">
        <v>113.3</v>
      </c>
      <c r="Y67">
        <v>118.8</v>
      </c>
      <c r="Z67">
        <v>109.6</v>
      </c>
      <c r="AA67">
        <v>120.1</v>
      </c>
      <c r="AB67">
        <f t="shared" ref="AB67:AB130" si="4">SUM(D67:O67)</f>
        <v>1457.3</v>
      </c>
      <c r="AC67">
        <v>116.7</v>
      </c>
      <c r="AD67">
        <v>114.7</v>
      </c>
      <c r="AE67">
        <f t="shared" ref="AE67:AE130" si="5">SUM(Q67:R67)</f>
        <v>239.6</v>
      </c>
      <c r="AF67">
        <f t="shared" ref="AF67:AF130" si="6">SUM(U67:Z67,P67)</f>
        <v>805.6</v>
      </c>
      <c r="AG67">
        <f t="shared" ref="AG67:AG130" si="7">SUM(AB67:AF67)</f>
        <v>2733.9</v>
      </c>
    </row>
    <row r="68" spans="1:33" hidden="1" x14ac:dyDescent="0.25">
      <c r="A68" t="s">
        <v>26</v>
      </c>
      <c r="B68">
        <v>2014</v>
      </c>
      <c r="C68" t="s">
        <v>40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120.8</v>
      </c>
      <c r="Q68">
        <v>123.3</v>
      </c>
      <c r="R68">
        <v>120.5</v>
      </c>
      <c r="T68">
        <v>117.3</v>
      </c>
      <c r="U68">
        <v>118.1</v>
      </c>
      <c r="V68">
        <v>115.9</v>
      </c>
      <c r="W68">
        <v>112</v>
      </c>
      <c r="X68">
        <v>113.3</v>
      </c>
      <c r="Y68">
        <v>117.2</v>
      </c>
      <c r="Z68">
        <v>108.8</v>
      </c>
      <c r="AA68">
        <v>121.1</v>
      </c>
      <c r="AB68">
        <f t="shared" si="4"/>
        <v>1457.1</v>
      </c>
      <c r="AD68">
        <v>117.3</v>
      </c>
      <c r="AE68">
        <f t="shared" si="5"/>
        <v>243.8</v>
      </c>
      <c r="AF68">
        <f t="shared" si="6"/>
        <v>806.09999999999991</v>
      </c>
      <c r="AG68">
        <f t="shared" si="7"/>
        <v>2624.2999999999997</v>
      </c>
    </row>
    <row r="69" spans="1:33" hidden="1" x14ac:dyDescent="0.25">
      <c r="A69" t="s">
        <v>28</v>
      </c>
      <c r="B69">
        <v>2014</v>
      </c>
      <c r="C69" t="s">
        <v>40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125.8</v>
      </c>
      <c r="Q69">
        <v>120.3</v>
      </c>
      <c r="R69">
        <v>115.4</v>
      </c>
      <c r="S69">
        <v>117.1</v>
      </c>
      <c r="T69">
        <v>112.6</v>
      </c>
      <c r="U69">
        <v>116.4</v>
      </c>
      <c r="V69">
        <v>113</v>
      </c>
      <c r="W69">
        <v>109.7</v>
      </c>
      <c r="X69">
        <v>114</v>
      </c>
      <c r="Y69">
        <v>120.3</v>
      </c>
      <c r="Z69">
        <v>109.6</v>
      </c>
      <c r="AA69">
        <v>119</v>
      </c>
      <c r="AB69">
        <f t="shared" si="4"/>
        <v>1462.3999999999999</v>
      </c>
      <c r="AC69">
        <v>117.1</v>
      </c>
      <c r="AD69">
        <v>112.6</v>
      </c>
      <c r="AE69">
        <f t="shared" si="5"/>
        <v>235.7</v>
      </c>
      <c r="AF69">
        <f t="shared" si="6"/>
        <v>808.8</v>
      </c>
      <c r="AG69">
        <f t="shared" si="7"/>
        <v>2736.5999999999995</v>
      </c>
    </row>
    <row r="70" spans="1:33" hidden="1" x14ac:dyDescent="0.25">
      <c r="A70" t="s">
        <v>29</v>
      </c>
      <c r="B70">
        <v>2014</v>
      </c>
      <c r="C70" t="s">
        <v>40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122.1</v>
      </c>
      <c r="Q70">
        <v>122.1</v>
      </c>
      <c r="R70">
        <v>118.4</v>
      </c>
      <c r="S70">
        <v>117.1</v>
      </c>
      <c r="T70">
        <v>115.5</v>
      </c>
      <c r="U70">
        <v>117.3</v>
      </c>
      <c r="V70">
        <v>114.8</v>
      </c>
      <c r="W70">
        <v>110.8</v>
      </c>
      <c r="X70">
        <v>113.7</v>
      </c>
      <c r="Y70">
        <v>119</v>
      </c>
      <c r="Z70">
        <v>109.1</v>
      </c>
      <c r="AA70">
        <v>120.1</v>
      </c>
      <c r="AB70">
        <f t="shared" si="4"/>
        <v>1458.1000000000001</v>
      </c>
      <c r="AC70">
        <v>117.1</v>
      </c>
      <c r="AD70">
        <v>115.5</v>
      </c>
      <c r="AE70">
        <f t="shared" si="5"/>
        <v>240.5</v>
      </c>
      <c r="AF70">
        <f t="shared" si="6"/>
        <v>806.8</v>
      </c>
      <c r="AG70">
        <f t="shared" si="7"/>
        <v>2738</v>
      </c>
    </row>
    <row r="71" spans="1:33" hidden="1" x14ac:dyDescent="0.25">
      <c r="A71" t="s">
        <v>26</v>
      </c>
      <c r="B71">
        <v>2014</v>
      </c>
      <c r="C71" t="s">
        <v>41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121.7</v>
      </c>
      <c r="Q71">
        <v>123.8</v>
      </c>
      <c r="R71">
        <v>120.6</v>
      </c>
      <c r="T71">
        <v>117.4</v>
      </c>
      <c r="U71">
        <v>118.2</v>
      </c>
      <c r="V71">
        <v>116.2</v>
      </c>
      <c r="W71">
        <v>111.5</v>
      </c>
      <c r="X71">
        <v>113.3</v>
      </c>
      <c r="Y71">
        <v>117.7</v>
      </c>
      <c r="Z71">
        <v>109.4</v>
      </c>
      <c r="AA71">
        <v>120.3</v>
      </c>
      <c r="AB71">
        <f t="shared" si="4"/>
        <v>1446.3</v>
      </c>
      <c r="AD71">
        <v>117.4</v>
      </c>
      <c r="AE71">
        <f t="shared" si="5"/>
        <v>244.39999999999998</v>
      </c>
      <c r="AF71">
        <f t="shared" si="6"/>
        <v>808</v>
      </c>
      <c r="AG71">
        <f t="shared" si="7"/>
        <v>2616.1</v>
      </c>
    </row>
    <row r="72" spans="1:33" hidden="1" x14ac:dyDescent="0.25">
      <c r="A72" t="s">
        <v>28</v>
      </c>
      <c r="B72">
        <v>2014</v>
      </c>
      <c r="C72" t="s">
        <v>41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126.4</v>
      </c>
      <c r="Q72">
        <v>120.7</v>
      </c>
      <c r="R72">
        <v>115.8</v>
      </c>
      <c r="S72">
        <v>116.5</v>
      </c>
      <c r="T72">
        <v>113</v>
      </c>
      <c r="U72">
        <v>116.8</v>
      </c>
      <c r="V72">
        <v>113.2</v>
      </c>
      <c r="W72">
        <v>108.8</v>
      </c>
      <c r="X72">
        <v>114.3</v>
      </c>
      <c r="Y72">
        <v>120.7</v>
      </c>
      <c r="Z72">
        <v>110.4</v>
      </c>
      <c r="AA72">
        <v>118.4</v>
      </c>
      <c r="AB72">
        <f t="shared" si="4"/>
        <v>1453.1999999999998</v>
      </c>
      <c r="AC72">
        <v>116.5</v>
      </c>
      <c r="AD72">
        <v>113</v>
      </c>
      <c r="AE72">
        <f t="shared" si="5"/>
        <v>236.5</v>
      </c>
      <c r="AF72">
        <f t="shared" si="6"/>
        <v>810.6</v>
      </c>
      <c r="AG72">
        <f t="shared" si="7"/>
        <v>2729.7999999999997</v>
      </c>
    </row>
    <row r="73" spans="1:33" hidden="1" x14ac:dyDescent="0.25">
      <c r="A73" t="s">
        <v>29</v>
      </c>
      <c r="B73">
        <v>2014</v>
      </c>
      <c r="C73" t="s">
        <v>41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</v>
      </c>
      <c r="Q73">
        <v>122.6</v>
      </c>
      <c r="R73">
        <v>118.6</v>
      </c>
      <c r="S73">
        <v>116.5</v>
      </c>
      <c r="T73">
        <v>115.7</v>
      </c>
      <c r="U73">
        <v>117.5</v>
      </c>
      <c r="V73">
        <v>115.1</v>
      </c>
      <c r="W73">
        <v>110.1</v>
      </c>
      <c r="X73">
        <v>113.9</v>
      </c>
      <c r="Y73">
        <v>119.5</v>
      </c>
      <c r="Z73">
        <v>109.8</v>
      </c>
      <c r="AA73">
        <v>119.4</v>
      </c>
      <c r="AB73">
        <f t="shared" si="4"/>
        <v>1448.1</v>
      </c>
      <c r="AC73">
        <v>116.5</v>
      </c>
      <c r="AD73">
        <v>115.7</v>
      </c>
      <c r="AE73">
        <f t="shared" si="5"/>
        <v>241.2</v>
      </c>
      <c r="AF73">
        <f t="shared" si="6"/>
        <v>808.9</v>
      </c>
      <c r="AG73">
        <f t="shared" si="7"/>
        <v>2730.4</v>
      </c>
    </row>
    <row r="74" spans="1:33" hidden="1" x14ac:dyDescent="0.25">
      <c r="A74" t="s">
        <v>26</v>
      </c>
      <c r="B74">
        <v>2015</v>
      </c>
      <c r="C74" t="s">
        <v>27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122.7</v>
      </c>
      <c r="Q74">
        <v>124.4</v>
      </c>
      <c r="R74">
        <v>121.6</v>
      </c>
      <c r="T74">
        <v>118.4</v>
      </c>
      <c r="U74">
        <v>118.9</v>
      </c>
      <c r="V74">
        <v>116.6</v>
      </c>
      <c r="W74">
        <v>111</v>
      </c>
      <c r="X74">
        <v>114</v>
      </c>
      <c r="Y74">
        <v>118.2</v>
      </c>
      <c r="Z74">
        <v>110.2</v>
      </c>
      <c r="AA74">
        <v>120.3</v>
      </c>
      <c r="AB74">
        <f t="shared" si="4"/>
        <v>1445.3</v>
      </c>
      <c r="AD74">
        <v>118.4</v>
      </c>
      <c r="AE74">
        <f t="shared" si="5"/>
        <v>246</v>
      </c>
      <c r="AF74">
        <f t="shared" si="6"/>
        <v>811.60000000000014</v>
      </c>
      <c r="AG74">
        <f t="shared" si="7"/>
        <v>2621.3000000000002</v>
      </c>
    </row>
    <row r="75" spans="1:33" hidden="1" x14ac:dyDescent="0.25">
      <c r="A75" t="s">
        <v>28</v>
      </c>
      <c r="B75">
        <v>2015</v>
      </c>
      <c r="C75" t="s">
        <v>27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127.4</v>
      </c>
      <c r="Q75">
        <v>121</v>
      </c>
      <c r="R75">
        <v>116.1</v>
      </c>
      <c r="S75">
        <v>117.3</v>
      </c>
      <c r="T75">
        <v>113.4</v>
      </c>
      <c r="U75">
        <v>117.2</v>
      </c>
      <c r="V75">
        <v>113.7</v>
      </c>
      <c r="W75">
        <v>107.9</v>
      </c>
      <c r="X75">
        <v>114.6</v>
      </c>
      <c r="Y75">
        <v>120.8</v>
      </c>
      <c r="Z75">
        <v>111.4</v>
      </c>
      <c r="AA75">
        <v>118.5</v>
      </c>
      <c r="AB75">
        <f t="shared" si="4"/>
        <v>1451.3999999999999</v>
      </c>
      <c r="AC75">
        <v>117.3</v>
      </c>
      <c r="AD75">
        <v>113.4</v>
      </c>
      <c r="AE75">
        <f t="shared" si="5"/>
        <v>237.1</v>
      </c>
      <c r="AF75">
        <f t="shared" si="6"/>
        <v>812.99999999999989</v>
      </c>
      <c r="AG75">
        <f t="shared" si="7"/>
        <v>2732.2</v>
      </c>
    </row>
    <row r="76" spans="1:33" hidden="1" x14ac:dyDescent="0.25">
      <c r="A76" t="s">
        <v>29</v>
      </c>
      <c r="B76">
        <v>2015</v>
      </c>
      <c r="C76" t="s">
        <v>27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124</v>
      </c>
      <c r="Q76">
        <v>123.1</v>
      </c>
      <c r="R76">
        <v>119.3</v>
      </c>
      <c r="S76">
        <v>117.3</v>
      </c>
      <c r="T76">
        <v>116.5</v>
      </c>
      <c r="U76">
        <v>118.1</v>
      </c>
      <c r="V76">
        <v>115.5</v>
      </c>
      <c r="W76">
        <v>109.4</v>
      </c>
      <c r="X76">
        <v>114.3</v>
      </c>
      <c r="Y76">
        <v>119.7</v>
      </c>
      <c r="Z76">
        <v>110.7</v>
      </c>
      <c r="AA76">
        <v>119.5</v>
      </c>
      <c r="AB76">
        <f t="shared" si="4"/>
        <v>1446.2</v>
      </c>
      <c r="AC76">
        <v>117.3</v>
      </c>
      <c r="AD76">
        <v>116.5</v>
      </c>
      <c r="AE76">
        <f t="shared" si="5"/>
        <v>242.39999999999998</v>
      </c>
      <c r="AF76">
        <f t="shared" si="6"/>
        <v>811.7</v>
      </c>
      <c r="AG76">
        <f t="shared" si="7"/>
        <v>2734.1000000000004</v>
      </c>
    </row>
    <row r="77" spans="1:33" hidden="1" x14ac:dyDescent="0.25">
      <c r="A77" t="s">
        <v>26</v>
      </c>
      <c r="B77">
        <v>2015</v>
      </c>
      <c r="C77" t="s">
        <v>30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124.2</v>
      </c>
      <c r="Q77">
        <v>125.4</v>
      </c>
      <c r="R77">
        <v>122.7</v>
      </c>
      <c r="T77">
        <v>120</v>
      </c>
      <c r="U77">
        <v>119.6</v>
      </c>
      <c r="V77">
        <v>117.7</v>
      </c>
      <c r="W77">
        <v>110.9</v>
      </c>
      <c r="X77">
        <v>114.8</v>
      </c>
      <c r="Y77">
        <v>118.7</v>
      </c>
      <c r="Z77">
        <v>110.8</v>
      </c>
      <c r="AA77">
        <v>120.6</v>
      </c>
      <c r="AB77">
        <f t="shared" si="4"/>
        <v>1447.7999999999997</v>
      </c>
      <c r="AD77">
        <v>120</v>
      </c>
      <c r="AE77">
        <f t="shared" si="5"/>
        <v>248.10000000000002</v>
      </c>
      <c r="AF77">
        <f t="shared" si="6"/>
        <v>816.7</v>
      </c>
      <c r="AG77">
        <f t="shared" si="7"/>
        <v>2632.5999999999995</v>
      </c>
    </row>
    <row r="78" spans="1:33" hidden="1" x14ac:dyDescent="0.25">
      <c r="A78" t="s">
        <v>28</v>
      </c>
      <c r="B78">
        <v>2015</v>
      </c>
      <c r="C78" t="s">
        <v>30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128.1</v>
      </c>
      <c r="Q78">
        <v>121.3</v>
      </c>
      <c r="R78">
        <v>116.5</v>
      </c>
      <c r="S78">
        <v>118.1</v>
      </c>
      <c r="T78">
        <v>114</v>
      </c>
      <c r="U78">
        <v>117.7</v>
      </c>
      <c r="V78">
        <v>114.1</v>
      </c>
      <c r="W78">
        <v>106.8</v>
      </c>
      <c r="X78">
        <v>114.9</v>
      </c>
      <c r="Y78">
        <v>120.4</v>
      </c>
      <c r="Z78">
        <v>111.7</v>
      </c>
      <c r="AA78">
        <v>118.7</v>
      </c>
      <c r="AB78">
        <f t="shared" si="4"/>
        <v>1447.4</v>
      </c>
      <c r="AC78">
        <v>118.1</v>
      </c>
      <c r="AD78">
        <v>114</v>
      </c>
      <c r="AE78">
        <f t="shared" si="5"/>
        <v>237.8</v>
      </c>
      <c r="AF78">
        <f t="shared" si="6"/>
        <v>813.7</v>
      </c>
      <c r="AG78">
        <f t="shared" si="7"/>
        <v>2731</v>
      </c>
    </row>
    <row r="79" spans="1:33" hidden="1" x14ac:dyDescent="0.25">
      <c r="A79" t="s">
        <v>29</v>
      </c>
      <c r="B79">
        <v>2015</v>
      </c>
      <c r="C79" t="s">
        <v>30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125.2</v>
      </c>
      <c r="Q79">
        <v>123.8</v>
      </c>
      <c r="R79">
        <v>120.1</v>
      </c>
      <c r="S79">
        <v>118.1</v>
      </c>
      <c r="T79">
        <v>117.7</v>
      </c>
      <c r="U79">
        <v>118.7</v>
      </c>
      <c r="V79">
        <v>116.3</v>
      </c>
      <c r="W79">
        <v>108.7</v>
      </c>
      <c r="X79">
        <v>114.9</v>
      </c>
      <c r="Y79">
        <v>119.7</v>
      </c>
      <c r="Z79">
        <v>111.2</v>
      </c>
      <c r="AA79">
        <v>119.7</v>
      </c>
      <c r="AB79">
        <f t="shared" si="4"/>
        <v>1446.2999999999997</v>
      </c>
      <c r="AC79">
        <v>118.1</v>
      </c>
      <c r="AD79">
        <v>117.7</v>
      </c>
      <c r="AE79">
        <f t="shared" si="5"/>
        <v>243.89999999999998</v>
      </c>
      <c r="AF79">
        <f t="shared" si="6"/>
        <v>814.70000000000016</v>
      </c>
      <c r="AG79">
        <f t="shared" si="7"/>
        <v>2740.7</v>
      </c>
    </row>
    <row r="80" spans="1:33" hidden="1" x14ac:dyDescent="0.25">
      <c r="A80" t="s">
        <v>26</v>
      </c>
      <c r="B80">
        <v>2015</v>
      </c>
      <c r="C80" t="s">
        <v>31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124.7</v>
      </c>
      <c r="Q80">
        <v>126</v>
      </c>
      <c r="R80">
        <v>122.9</v>
      </c>
      <c r="T80">
        <v>120.6</v>
      </c>
      <c r="U80">
        <v>120.2</v>
      </c>
      <c r="V80">
        <v>118.2</v>
      </c>
      <c r="W80">
        <v>111.6</v>
      </c>
      <c r="X80">
        <v>115.5</v>
      </c>
      <c r="Y80">
        <v>119.4</v>
      </c>
      <c r="Z80">
        <v>110.8</v>
      </c>
      <c r="AA80">
        <v>121.1</v>
      </c>
      <c r="AB80">
        <f t="shared" si="4"/>
        <v>1448.4</v>
      </c>
      <c r="AD80">
        <v>120.6</v>
      </c>
      <c r="AE80">
        <f t="shared" si="5"/>
        <v>248.9</v>
      </c>
      <c r="AF80">
        <f t="shared" si="6"/>
        <v>820.4</v>
      </c>
      <c r="AG80">
        <f t="shared" si="7"/>
        <v>2638.3</v>
      </c>
    </row>
    <row r="81" spans="1:33" hidden="1" x14ac:dyDescent="0.25">
      <c r="A81" t="s">
        <v>28</v>
      </c>
      <c r="B81">
        <v>2015</v>
      </c>
      <c r="C81" t="s">
        <v>31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128.80000000000001</v>
      </c>
      <c r="Q81">
        <v>121.7</v>
      </c>
      <c r="R81">
        <v>116.9</v>
      </c>
      <c r="S81">
        <v>118.6</v>
      </c>
      <c r="T81">
        <v>114.4</v>
      </c>
      <c r="U81">
        <v>118</v>
      </c>
      <c r="V81">
        <v>114.3</v>
      </c>
      <c r="W81">
        <v>108.4</v>
      </c>
      <c r="X81">
        <v>115.4</v>
      </c>
      <c r="Y81">
        <v>120.6</v>
      </c>
      <c r="Z81">
        <v>111.3</v>
      </c>
      <c r="AA81">
        <v>119.1</v>
      </c>
      <c r="AB81">
        <f t="shared" si="4"/>
        <v>1444.1000000000001</v>
      </c>
      <c r="AC81">
        <v>118.6</v>
      </c>
      <c r="AD81">
        <v>114.4</v>
      </c>
      <c r="AE81">
        <f t="shared" si="5"/>
        <v>238.60000000000002</v>
      </c>
      <c r="AF81">
        <f t="shared" si="6"/>
        <v>816.8</v>
      </c>
      <c r="AG81">
        <f t="shared" si="7"/>
        <v>2732.5</v>
      </c>
    </row>
    <row r="82" spans="1:33" hidden="1" x14ac:dyDescent="0.25">
      <c r="A82" t="s">
        <v>29</v>
      </c>
      <c r="B82">
        <v>2015</v>
      </c>
      <c r="C82" t="s">
        <v>31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125.8</v>
      </c>
      <c r="Q82">
        <v>124.3</v>
      </c>
      <c r="R82">
        <v>120.4</v>
      </c>
      <c r="S82">
        <v>118.6</v>
      </c>
      <c r="T82">
        <v>118.3</v>
      </c>
      <c r="U82">
        <v>119.2</v>
      </c>
      <c r="V82">
        <v>116.7</v>
      </c>
      <c r="W82">
        <v>109.9</v>
      </c>
      <c r="X82">
        <v>115.4</v>
      </c>
      <c r="Y82">
        <v>120.1</v>
      </c>
      <c r="Z82">
        <v>111</v>
      </c>
      <c r="AA82">
        <v>120.2</v>
      </c>
      <c r="AB82">
        <f t="shared" si="4"/>
        <v>1445.6999999999998</v>
      </c>
      <c r="AC82">
        <v>118.6</v>
      </c>
      <c r="AD82">
        <v>118.3</v>
      </c>
      <c r="AE82">
        <f t="shared" si="5"/>
        <v>244.7</v>
      </c>
      <c r="AF82">
        <f t="shared" si="6"/>
        <v>818.1</v>
      </c>
      <c r="AG82">
        <f t="shared" si="7"/>
        <v>2745.3999999999996</v>
      </c>
    </row>
    <row r="83" spans="1:33" hidden="1" x14ac:dyDescent="0.25">
      <c r="A83" t="s">
        <v>26</v>
      </c>
      <c r="B83">
        <v>2015</v>
      </c>
      <c r="C83" t="s">
        <v>32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125.7</v>
      </c>
      <c r="Q83">
        <v>126.4</v>
      </c>
      <c r="R83">
        <v>123.3</v>
      </c>
      <c r="T83">
        <v>121.2</v>
      </c>
      <c r="U83">
        <v>120.9</v>
      </c>
      <c r="V83">
        <v>118.6</v>
      </c>
      <c r="W83">
        <v>111.9</v>
      </c>
      <c r="X83">
        <v>116.2</v>
      </c>
      <c r="Y83">
        <v>119.9</v>
      </c>
      <c r="Z83">
        <v>111.6</v>
      </c>
      <c r="AA83">
        <v>121.5</v>
      </c>
      <c r="AB83">
        <f t="shared" si="4"/>
        <v>1453.6000000000001</v>
      </c>
      <c r="AD83">
        <v>121.2</v>
      </c>
      <c r="AE83">
        <f t="shared" si="5"/>
        <v>249.7</v>
      </c>
      <c r="AF83">
        <f t="shared" si="6"/>
        <v>824.80000000000007</v>
      </c>
      <c r="AG83">
        <f t="shared" si="7"/>
        <v>2649.3</v>
      </c>
    </row>
    <row r="84" spans="1:33" hidden="1" x14ac:dyDescent="0.25">
      <c r="A84" t="s">
        <v>28</v>
      </c>
      <c r="B84">
        <v>2015</v>
      </c>
      <c r="C84" t="s">
        <v>32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130.1</v>
      </c>
      <c r="Q84">
        <v>122.1</v>
      </c>
      <c r="R84">
        <v>117.2</v>
      </c>
      <c r="S84">
        <v>119.2</v>
      </c>
      <c r="T84">
        <v>114.7</v>
      </c>
      <c r="U84">
        <v>118.4</v>
      </c>
      <c r="V84">
        <v>114.6</v>
      </c>
      <c r="W84">
        <v>108.4</v>
      </c>
      <c r="X84">
        <v>115.6</v>
      </c>
      <c r="Y84">
        <v>121.7</v>
      </c>
      <c r="Z84">
        <v>111.8</v>
      </c>
      <c r="AA84">
        <v>119.7</v>
      </c>
      <c r="AB84">
        <f t="shared" si="4"/>
        <v>1451.5</v>
      </c>
      <c r="AC84">
        <v>119.2</v>
      </c>
      <c r="AD84">
        <v>114.7</v>
      </c>
      <c r="AE84">
        <f t="shared" si="5"/>
        <v>239.3</v>
      </c>
      <c r="AF84">
        <f t="shared" si="6"/>
        <v>820.6</v>
      </c>
      <c r="AG84">
        <f t="shared" si="7"/>
        <v>2745.3</v>
      </c>
    </row>
    <row r="85" spans="1:33" hidden="1" x14ac:dyDescent="0.25">
      <c r="A85" t="s">
        <v>29</v>
      </c>
      <c r="B85">
        <v>2015</v>
      </c>
      <c r="C85" t="s">
        <v>32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126.9</v>
      </c>
      <c r="Q85">
        <v>124.7</v>
      </c>
      <c r="R85">
        <v>120.8</v>
      </c>
      <c r="S85">
        <v>119.2</v>
      </c>
      <c r="T85">
        <v>118.7</v>
      </c>
      <c r="U85">
        <v>119.7</v>
      </c>
      <c r="V85">
        <v>117.1</v>
      </c>
      <c r="W85">
        <v>110.1</v>
      </c>
      <c r="X85">
        <v>115.9</v>
      </c>
      <c r="Y85">
        <v>121</v>
      </c>
      <c r="Z85">
        <v>111.7</v>
      </c>
      <c r="AA85">
        <v>120.7</v>
      </c>
      <c r="AB85">
        <f t="shared" si="4"/>
        <v>1451.7</v>
      </c>
      <c r="AC85">
        <v>119.2</v>
      </c>
      <c r="AD85">
        <v>118.7</v>
      </c>
      <c r="AE85">
        <f t="shared" si="5"/>
        <v>245.5</v>
      </c>
      <c r="AF85">
        <f t="shared" si="6"/>
        <v>822.4</v>
      </c>
      <c r="AG85">
        <f t="shared" si="7"/>
        <v>2757.5</v>
      </c>
    </row>
    <row r="86" spans="1:33" hidden="1" x14ac:dyDescent="0.25">
      <c r="A86" t="s">
        <v>26</v>
      </c>
      <c r="B86">
        <v>2015</v>
      </c>
      <c r="C86" t="s">
        <v>33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126.7</v>
      </c>
      <c r="Q86">
        <v>127.3</v>
      </c>
      <c r="R86">
        <v>124.1</v>
      </c>
      <c r="T86">
        <v>121.9</v>
      </c>
      <c r="U86">
        <v>121.5</v>
      </c>
      <c r="V86">
        <v>119.4</v>
      </c>
      <c r="W86">
        <v>113.3</v>
      </c>
      <c r="X86">
        <v>116.7</v>
      </c>
      <c r="Y86">
        <v>120.5</v>
      </c>
      <c r="Z86">
        <v>112.3</v>
      </c>
      <c r="AA86">
        <v>122.4</v>
      </c>
      <c r="AB86">
        <f t="shared" si="4"/>
        <v>1463.3</v>
      </c>
      <c r="AD86">
        <v>121.9</v>
      </c>
      <c r="AE86">
        <f t="shared" si="5"/>
        <v>251.39999999999998</v>
      </c>
      <c r="AF86">
        <f t="shared" si="6"/>
        <v>830.4</v>
      </c>
      <c r="AG86">
        <f t="shared" si="7"/>
        <v>2667</v>
      </c>
    </row>
    <row r="87" spans="1:33" hidden="1" x14ac:dyDescent="0.25">
      <c r="A87" t="s">
        <v>28</v>
      </c>
      <c r="B87">
        <v>2015</v>
      </c>
      <c r="C87" t="s">
        <v>33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131.30000000000001</v>
      </c>
      <c r="Q87">
        <v>122.4</v>
      </c>
      <c r="R87">
        <v>117.4</v>
      </c>
      <c r="S87">
        <v>119.6</v>
      </c>
      <c r="T87">
        <v>114.9</v>
      </c>
      <c r="U87">
        <v>118.7</v>
      </c>
      <c r="V87">
        <v>114.9</v>
      </c>
      <c r="W87">
        <v>110.8</v>
      </c>
      <c r="X87">
        <v>116</v>
      </c>
      <c r="Y87">
        <v>122</v>
      </c>
      <c r="Z87">
        <v>112.4</v>
      </c>
      <c r="AA87">
        <v>120.7</v>
      </c>
      <c r="AB87">
        <f t="shared" si="4"/>
        <v>1472.8000000000002</v>
      </c>
      <c r="AC87">
        <v>119.6</v>
      </c>
      <c r="AD87">
        <v>114.9</v>
      </c>
      <c r="AE87">
        <f t="shared" si="5"/>
        <v>239.8</v>
      </c>
      <c r="AF87">
        <f t="shared" si="6"/>
        <v>826.10000000000014</v>
      </c>
      <c r="AG87">
        <f t="shared" si="7"/>
        <v>2773.2000000000003</v>
      </c>
    </row>
    <row r="88" spans="1:33" hidden="1" x14ac:dyDescent="0.25">
      <c r="A88" t="s">
        <v>29</v>
      </c>
      <c r="B88">
        <v>2015</v>
      </c>
      <c r="C88" t="s">
        <v>33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127.9</v>
      </c>
      <c r="Q88">
        <v>125.4</v>
      </c>
      <c r="R88">
        <v>121.3</v>
      </c>
      <c r="S88">
        <v>119.6</v>
      </c>
      <c r="T88">
        <v>119.2</v>
      </c>
      <c r="U88">
        <v>120.2</v>
      </c>
      <c r="V88">
        <v>117.7</v>
      </c>
      <c r="W88">
        <v>112</v>
      </c>
      <c r="X88">
        <v>116.3</v>
      </c>
      <c r="Y88">
        <v>121.4</v>
      </c>
      <c r="Z88">
        <v>112.3</v>
      </c>
      <c r="AA88">
        <v>121.6</v>
      </c>
      <c r="AB88">
        <f t="shared" si="4"/>
        <v>1465.4</v>
      </c>
      <c r="AC88">
        <v>119.6</v>
      </c>
      <c r="AD88">
        <v>119.2</v>
      </c>
      <c r="AE88">
        <f t="shared" si="5"/>
        <v>246.7</v>
      </c>
      <c r="AF88">
        <f t="shared" si="6"/>
        <v>827.8</v>
      </c>
      <c r="AG88">
        <f t="shared" si="7"/>
        <v>2778.7</v>
      </c>
    </row>
    <row r="89" spans="1:33" hidden="1" x14ac:dyDescent="0.25">
      <c r="A89" t="s">
        <v>26</v>
      </c>
      <c r="B89">
        <v>2015</v>
      </c>
      <c r="C89" t="s">
        <v>34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128.19999999999999</v>
      </c>
      <c r="Q89">
        <v>128.4</v>
      </c>
      <c r="R89">
        <v>125.1</v>
      </c>
      <c r="T89">
        <v>122.6</v>
      </c>
      <c r="U89">
        <v>122.8</v>
      </c>
      <c r="V89">
        <v>120.4</v>
      </c>
      <c r="W89">
        <v>114.2</v>
      </c>
      <c r="X89">
        <v>117.9</v>
      </c>
      <c r="Y89">
        <v>122</v>
      </c>
      <c r="Z89">
        <v>113</v>
      </c>
      <c r="AA89">
        <v>124.1</v>
      </c>
      <c r="AB89">
        <f t="shared" si="4"/>
        <v>1491.3</v>
      </c>
      <c r="AD89">
        <v>122.6</v>
      </c>
      <c r="AE89">
        <f t="shared" si="5"/>
        <v>253.5</v>
      </c>
      <c r="AF89">
        <f t="shared" si="6"/>
        <v>838.5</v>
      </c>
      <c r="AG89">
        <f t="shared" si="7"/>
        <v>2705.8999999999996</v>
      </c>
    </row>
    <row r="90" spans="1:33" hidden="1" x14ac:dyDescent="0.25">
      <c r="A90" t="s">
        <v>28</v>
      </c>
      <c r="B90">
        <v>2015</v>
      </c>
      <c r="C90" t="s">
        <v>34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132.1</v>
      </c>
      <c r="Q90">
        <v>123.2</v>
      </c>
      <c r="R90">
        <v>117.6</v>
      </c>
      <c r="S90">
        <v>119</v>
      </c>
      <c r="T90">
        <v>115.1</v>
      </c>
      <c r="U90">
        <v>119.2</v>
      </c>
      <c r="V90">
        <v>115.4</v>
      </c>
      <c r="W90">
        <v>111.7</v>
      </c>
      <c r="X90">
        <v>116.2</v>
      </c>
      <c r="Y90">
        <v>123.8</v>
      </c>
      <c r="Z90">
        <v>112.5</v>
      </c>
      <c r="AA90">
        <v>121.7</v>
      </c>
      <c r="AB90">
        <f t="shared" si="4"/>
        <v>1508.1</v>
      </c>
      <c r="AC90">
        <v>119</v>
      </c>
      <c r="AD90">
        <v>115.1</v>
      </c>
      <c r="AE90">
        <f t="shared" si="5"/>
        <v>240.8</v>
      </c>
      <c r="AF90">
        <f t="shared" si="6"/>
        <v>830.9</v>
      </c>
      <c r="AG90">
        <f t="shared" si="7"/>
        <v>2813.8999999999996</v>
      </c>
    </row>
    <row r="91" spans="1:33" hidden="1" x14ac:dyDescent="0.25">
      <c r="A91" t="s">
        <v>29</v>
      </c>
      <c r="B91">
        <v>2015</v>
      </c>
      <c r="C91" t="s">
        <v>34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129.19999999999999</v>
      </c>
      <c r="Q91">
        <v>126.4</v>
      </c>
      <c r="R91">
        <v>122</v>
      </c>
      <c r="S91">
        <v>119</v>
      </c>
      <c r="T91">
        <v>119.8</v>
      </c>
      <c r="U91">
        <v>121.1</v>
      </c>
      <c r="V91">
        <v>118.5</v>
      </c>
      <c r="W91">
        <v>112.9</v>
      </c>
      <c r="X91">
        <v>116.9</v>
      </c>
      <c r="Y91">
        <v>123.1</v>
      </c>
      <c r="Z91">
        <v>112.8</v>
      </c>
      <c r="AA91">
        <v>123</v>
      </c>
      <c r="AB91">
        <f t="shared" si="4"/>
        <v>1496.2</v>
      </c>
      <c r="AC91">
        <v>119</v>
      </c>
      <c r="AD91">
        <v>119.8</v>
      </c>
      <c r="AE91">
        <f t="shared" si="5"/>
        <v>248.4</v>
      </c>
      <c r="AF91">
        <f t="shared" si="6"/>
        <v>834.5</v>
      </c>
      <c r="AG91">
        <f t="shared" si="7"/>
        <v>2817.9</v>
      </c>
    </row>
    <row r="92" spans="1:33" hidden="1" x14ac:dyDescent="0.25">
      <c r="A92" t="s">
        <v>26</v>
      </c>
      <c r="B92">
        <v>2015</v>
      </c>
      <c r="C92" t="s">
        <v>35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129.4</v>
      </c>
      <c r="Q92">
        <v>128.80000000000001</v>
      </c>
      <c r="R92">
        <v>125.5</v>
      </c>
      <c r="T92">
        <v>123</v>
      </c>
      <c r="U92">
        <v>123</v>
      </c>
      <c r="V92">
        <v>120.8</v>
      </c>
      <c r="W92">
        <v>114.1</v>
      </c>
      <c r="X92">
        <v>118</v>
      </c>
      <c r="Y92">
        <v>122.9</v>
      </c>
      <c r="Z92">
        <v>112.7</v>
      </c>
      <c r="AA92">
        <v>124.7</v>
      </c>
      <c r="AB92">
        <f t="shared" si="4"/>
        <v>1497.8</v>
      </c>
      <c r="AD92">
        <v>123</v>
      </c>
      <c r="AE92">
        <f t="shared" si="5"/>
        <v>254.3</v>
      </c>
      <c r="AF92">
        <f t="shared" si="6"/>
        <v>840.9</v>
      </c>
      <c r="AG92">
        <f t="shared" si="7"/>
        <v>2716</v>
      </c>
    </row>
    <row r="93" spans="1:33" hidden="1" x14ac:dyDescent="0.25">
      <c r="A93" t="s">
        <v>28</v>
      </c>
      <c r="B93">
        <v>2015</v>
      </c>
      <c r="C93" t="s">
        <v>35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133.1</v>
      </c>
      <c r="Q93">
        <v>123.5</v>
      </c>
      <c r="R93">
        <v>117.9</v>
      </c>
      <c r="S93">
        <v>119.9</v>
      </c>
      <c r="T93">
        <v>115.3</v>
      </c>
      <c r="U93">
        <v>119.5</v>
      </c>
      <c r="V93">
        <v>116</v>
      </c>
      <c r="W93">
        <v>111.5</v>
      </c>
      <c r="X93">
        <v>116.6</v>
      </c>
      <c r="Y93">
        <v>125.4</v>
      </c>
      <c r="Z93">
        <v>111.7</v>
      </c>
      <c r="AA93">
        <v>122.4</v>
      </c>
      <c r="AB93">
        <f t="shared" si="4"/>
        <v>1513.3999999999999</v>
      </c>
      <c r="AC93">
        <v>119.9</v>
      </c>
      <c r="AD93">
        <v>115.3</v>
      </c>
      <c r="AE93">
        <f t="shared" si="5"/>
        <v>241.4</v>
      </c>
      <c r="AF93">
        <f t="shared" si="6"/>
        <v>833.80000000000007</v>
      </c>
      <c r="AG93">
        <f t="shared" si="7"/>
        <v>2823.8</v>
      </c>
    </row>
    <row r="94" spans="1:33" hidden="1" x14ac:dyDescent="0.25">
      <c r="A94" t="s">
        <v>29</v>
      </c>
      <c r="B94">
        <v>2015</v>
      </c>
      <c r="C94" t="s">
        <v>35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130.4</v>
      </c>
      <c r="Q94">
        <v>126.7</v>
      </c>
      <c r="R94">
        <v>122.3</v>
      </c>
      <c r="S94">
        <v>119.9</v>
      </c>
      <c r="T94">
        <v>120.1</v>
      </c>
      <c r="U94">
        <v>121.3</v>
      </c>
      <c r="V94">
        <v>119</v>
      </c>
      <c r="W94">
        <v>112.7</v>
      </c>
      <c r="X94">
        <v>117.2</v>
      </c>
      <c r="Y94">
        <v>124.4</v>
      </c>
      <c r="Z94">
        <v>112.3</v>
      </c>
      <c r="AA94">
        <v>123.6</v>
      </c>
      <c r="AB94">
        <f t="shared" si="4"/>
        <v>1502.4</v>
      </c>
      <c r="AC94">
        <v>119.9</v>
      </c>
      <c r="AD94">
        <v>120.1</v>
      </c>
      <c r="AE94">
        <f t="shared" si="5"/>
        <v>249</v>
      </c>
      <c r="AF94">
        <f t="shared" si="6"/>
        <v>837.3</v>
      </c>
      <c r="AG94">
        <f t="shared" si="7"/>
        <v>2828.7</v>
      </c>
    </row>
    <row r="95" spans="1:33" hidden="1" x14ac:dyDescent="0.25">
      <c r="A95" t="s">
        <v>26</v>
      </c>
      <c r="B95">
        <v>2015</v>
      </c>
      <c r="C95" t="s">
        <v>36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130.1</v>
      </c>
      <c r="Q95">
        <v>129.5</v>
      </c>
      <c r="R95">
        <v>126.3</v>
      </c>
      <c r="T95">
        <v>123.8</v>
      </c>
      <c r="U95">
        <v>123.7</v>
      </c>
      <c r="V95">
        <v>121.1</v>
      </c>
      <c r="W95">
        <v>113.6</v>
      </c>
      <c r="X95">
        <v>118.5</v>
      </c>
      <c r="Y95">
        <v>123.6</v>
      </c>
      <c r="Z95">
        <v>112.5</v>
      </c>
      <c r="AA95">
        <v>126.1</v>
      </c>
      <c r="AB95">
        <f t="shared" si="4"/>
        <v>1516.8</v>
      </c>
      <c r="AD95">
        <v>123.8</v>
      </c>
      <c r="AE95">
        <f t="shared" si="5"/>
        <v>255.8</v>
      </c>
      <c r="AF95">
        <f t="shared" si="6"/>
        <v>843.1</v>
      </c>
      <c r="AG95">
        <f t="shared" si="7"/>
        <v>2739.5</v>
      </c>
    </row>
    <row r="96" spans="1:33" hidden="1" x14ac:dyDescent="0.25">
      <c r="A96" t="s">
        <v>28</v>
      </c>
      <c r="B96">
        <v>2015</v>
      </c>
      <c r="C96" t="s">
        <v>36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134.19999999999999</v>
      </c>
      <c r="Q96">
        <v>123.7</v>
      </c>
      <c r="R96">
        <v>118.2</v>
      </c>
      <c r="S96">
        <v>120.9</v>
      </c>
      <c r="T96">
        <v>115.3</v>
      </c>
      <c r="U96">
        <v>120</v>
      </c>
      <c r="V96">
        <v>116.6</v>
      </c>
      <c r="W96">
        <v>109.9</v>
      </c>
      <c r="X96">
        <v>117.2</v>
      </c>
      <c r="Y96">
        <v>126.2</v>
      </c>
      <c r="Z96">
        <v>112</v>
      </c>
      <c r="AA96">
        <v>123.2</v>
      </c>
      <c r="AB96">
        <f t="shared" si="4"/>
        <v>1527.8</v>
      </c>
      <c r="AC96">
        <v>120.9</v>
      </c>
      <c r="AD96">
        <v>115.3</v>
      </c>
      <c r="AE96">
        <f t="shared" si="5"/>
        <v>241.9</v>
      </c>
      <c r="AF96">
        <f t="shared" si="6"/>
        <v>836.09999999999991</v>
      </c>
      <c r="AG96">
        <f t="shared" si="7"/>
        <v>2842</v>
      </c>
    </row>
    <row r="97" spans="1:33" hidden="1" x14ac:dyDescent="0.25">
      <c r="A97" t="s">
        <v>29</v>
      </c>
      <c r="B97">
        <v>2015</v>
      </c>
      <c r="C97" t="s">
        <v>36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131.19999999999999</v>
      </c>
      <c r="Q97">
        <v>127.2</v>
      </c>
      <c r="R97">
        <v>122.9</v>
      </c>
      <c r="S97">
        <v>120.9</v>
      </c>
      <c r="T97">
        <v>120.6</v>
      </c>
      <c r="U97">
        <v>122</v>
      </c>
      <c r="V97">
        <v>119.4</v>
      </c>
      <c r="W97">
        <v>111.7</v>
      </c>
      <c r="X97">
        <v>117.8</v>
      </c>
      <c r="Y97">
        <v>125.1</v>
      </c>
      <c r="Z97">
        <v>112.3</v>
      </c>
      <c r="AA97">
        <v>124.8</v>
      </c>
      <c r="AB97">
        <f t="shared" si="4"/>
        <v>1519.3</v>
      </c>
      <c r="AC97">
        <v>120.9</v>
      </c>
      <c r="AD97">
        <v>120.6</v>
      </c>
      <c r="AE97">
        <f t="shared" si="5"/>
        <v>250.10000000000002</v>
      </c>
      <c r="AF97">
        <f t="shared" si="6"/>
        <v>839.5</v>
      </c>
      <c r="AG97">
        <f t="shared" si="7"/>
        <v>2850.4</v>
      </c>
    </row>
    <row r="98" spans="1:33" hidden="1" x14ac:dyDescent="0.25">
      <c r="A98" t="s">
        <v>26</v>
      </c>
      <c r="B98">
        <v>2015</v>
      </c>
      <c r="C98" t="s">
        <v>37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130.4</v>
      </c>
      <c r="R98">
        <v>126.8</v>
      </c>
      <c r="T98">
        <v>123.7</v>
      </c>
      <c r="U98">
        <v>124.5</v>
      </c>
      <c r="V98">
        <v>121.4</v>
      </c>
      <c r="W98">
        <v>113.8</v>
      </c>
      <c r="X98">
        <v>119.6</v>
      </c>
      <c r="Y98">
        <v>124.5</v>
      </c>
      <c r="Z98">
        <v>113.7</v>
      </c>
      <c r="AA98">
        <v>127</v>
      </c>
      <c r="AB98">
        <f t="shared" si="4"/>
        <v>1526.6000000000001</v>
      </c>
      <c r="AD98">
        <v>123.7</v>
      </c>
      <c r="AE98">
        <f t="shared" si="5"/>
        <v>257.2</v>
      </c>
      <c r="AF98">
        <f t="shared" si="6"/>
        <v>848.5</v>
      </c>
      <c r="AG98">
        <f t="shared" si="7"/>
        <v>2756</v>
      </c>
    </row>
    <row r="99" spans="1:33" hidden="1" x14ac:dyDescent="0.25">
      <c r="A99" t="s">
        <v>28</v>
      </c>
      <c r="B99">
        <v>2015</v>
      </c>
      <c r="C99" t="s">
        <v>37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134.69999999999999</v>
      </c>
      <c r="Q99">
        <v>124</v>
      </c>
      <c r="R99">
        <v>118.6</v>
      </c>
      <c r="S99">
        <v>121.6</v>
      </c>
      <c r="T99">
        <v>115.1</v>
      </c>
      <c r="U99">
        <v>120.4</v>
      </c>
      <c r="V99">
        <v>117.1</v>
      </c>
      <c r="W99">
        <v>109.1</v>
      </c>
      <c r="X99">
        <v>117.3</v>
      </c>
      <c r="Y99">
        <v>126.5</v>
      </c>
      <c r="Z99">
        <v>112.9</v>
      </c>
      <c r="AA99">
        <v>123.5</v>
      </c>
      <c r="AB99">
        <f t="shared" si="4"/>
        <v>1533.3</v>
      </c>
      <c r="AC99">
        <v>121.6</v>
      </c>
      <c r="AD99">
        <v>115.1</v>
      </c>
      <c r="AE99">
        <f t="shared" si="5"/>
        <v>242.6</v>
      </c>
      <c r="AF99">
        <f t="shared" si="6"/>
        <v>838</v>
      </c>
      <c r="AG99">
        <f t="shared" si="7"/>
        <v>2850.5999999999995</v>
      </c>
    </row>
    <row r="100" spans="1:33" hidden="1" x14ac:dyDescent="0.25">
      <c r="A100" t="s">
        <v>29</v>
      </c>
      <c r="B100">
        <v>2015</v>
      </c>
      <c r="C100" t="s">
        <v>37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132</v>
      </c>
      <c r="Q100">
        <v>127.9</v>
      </c>
      <c r="R100">
        <v>123.4</v>
      </c>
      <c r="S100">
        <v>121.6</v>
      </c>
      <c r="T100">
        <v>120.4</v>
      </c>
      <c r="U100">
        <v>122.6</v>
      </c>
      <c r="V100">
        <v>119.8</v>
      </c>
      <c r="W100">
        <v>111.3</v>
      </c>
      <c r="X100">
        <v>118.3</v>
      </c>
      <c r="Y100">
        <v>125.7</v>
      </c>
      <c r="Z100">
        <v>113.4</v>
      </c>
      <c r="AA100">
        <v>125.4</v>
      </c>
      <c r="AB100">
        <f t="shared" si="4"/>
        <v>1527.1000000000001</v>
      </c>
      <c r="AC100">
        <v>121.6</v>
      </c>
      <c r="AD100">
        <v>120.4</v>
      </c>
      <c r="AE100">
        <f t="shared" si="5"/>
        <v>251.3</v>
      </c>
      <c r="AF100">
        <f t="shared" si="6"/>
        <v>843.1</v>
      </c>
      <c r="AG100">
        <f t="shared" si="7"/>
        <v>2863.5</v>
      </c>
    </row>
    <row r="101" spans="1:33" hidden="1" x14ac:dyDescent="0.25">
      <c r="A101" t="s">
        <v>26</v>
      </c>
      <c r="B101">
        <v>2015</v>
      </c>
      <c r="C101" t="s">
        <v>38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131.5</v>
      </c>
      <c r="Q101">
        <v>131.1</v>
      </c>
      <c r="R101">
        <v>127.3</v>
      </c>
      <c r="T101">
        <v>124.4</v>
      </c>
      <c r="U101">
        <v>125.1</v>
      </c>
      <c r="V101">
        <v>122</v>
      </c>
      <c r="W101">
        <v>113.8</v>
      </c>
      <c r="X101">
        <v>120.1</v>
      </c>
      <c r="Y101">
        <v>125.1</v>
      </c>
      <c r="Z101">
        <v>114.2</v>
      </c>
      <c r="AA101">
        <v>127.7</v>
      </c>
      <c r="AB101">
        <f t="shared" si="4"/>
        <v>1542.8</v>
      </c>
      <c r="AD101">
        <v>124.4</v>
      </c>
      <c r="AE101">
        <f t="shared" si="5"/>
        <v>258.39999999999998</v>
      </c>
      <c r="AF101">
        <f t="shared" si="6"/>
        <v>851.80000000000007</v>
      </c>
      <c r="AG101">
        <f t="shared" si="7"/>
        <v>2777.4</v>
      </c>
    </row>
    <row r="102" spans="1:33" hidden="1" x14ac:dyDescent="0.25">
      <c r="A102" t="s">
        <v>28</v>
      </c>
      <c r="B102">
        <v>2015</v>
      </c>
      <c r="C102" t="s">
        <v>38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135.30000000000001</v>
      </c>
      <c r="Q102">
        <v>124.4</v>
      </c>
      <c r="R102">
        <v>118.8</v>
      </c>
      <c r="S102">
        <v>122.4</v>
      </c>
      <c r="T102">
        <v>114.9</v>
      </c>
      <c r="U102">
        <v>120.7</v>
      </c>
      <c r="V102">
        <v>117.7</v>
      </c>
      <c r="W102">
        <v>109.3</v>
      </c>
      <c r="X102">
        <v>117.7</v>
      </c>
      <c r="Y102">
        <v>126.5</v>
      </c>
      <c r="Z102">
        <v>113.5</v>
      </c>
      <c r="AA102">
        <v>124.2</v>
      </c>
      <c r="AB102">
        <f t="shared" si="4"/>
        <v>1560.2000000000003</v>
      </c>
      <c r="AC102">
        <v>122.4</v>
      </c>
      <c r="AD102">
        <v>114.9</v>
      </c>
      <c r="AE102">
        <f t="shared" si="5"/>
        <v>243.2</v>
      </c>
      <c r="AF102">
        <f t="shared" si="6"/>
        <v>840.7</v>
      </c>
      <c r="AG102">
        <f t="shared" si="7"/>
        <v>2881.4000000000005</v>
      </c>
    </row>
    <row r="103" spans="1:33" hidden="1" x14ac:dyDescent="0.25">
      <c r="A103" t="s">
        <v>29</v>
      </c>
      <c r="B103">
        <v>2015</v>
      </c>
      <c r="C103" t="s">
        <v>38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132.5</v>
      </c>
      <c r="Q103">
        <v>128.5</v>
      </c>
      <c r="R103">
        <v>123.8</v>
      </c>
      <c r="S103">
        <v>122.4</v>
      </c>
      <c r="T103">
        <v>120.8</v>
      </c>
      <c r="U103">
        <v>123</v>
      </c>
      <c r="V103">
        <v>120.4</v>
      </c>
      <c r="W103">
        <v>111.4</v>
      </c>
      <c r="X103">
        <v>118.7</v>
      </c>
      <c r="Y103">
        <v>125.9</v>
      </c>
      <c r="Z103">
        <v>113.9</v>
      </c>
      <c r="AA103">
        <v>126.1</v>
      </c>
      <c r="AB103">
        <f t="shared" si="4"/>
        <v>1546.8999999999999</v>
      </c>
      <c r="AC103">
        <v>122.4</v>
      </c>
      <c r="AD103">
        <v>120.8</v>
      </c>
      <c r="AE103">
        <f t="shared" si="5"/>
        <v>252.3</v>
      </c>
      <c r="AF103">
        <f t="shared" si="6"/>
        <v>845.8</v>
      </c>
      <c r="AG103">
        <f t="shared" si="7"/>
        <v>2888.2</v>
      </c>
    </row>
    <row r="104" spans="1:33" hidden="1" x14ac:dyDescent="0.25">
      <c r="A104" t="s">
        <v>26</v>
      </c>
      <c r="B104">
        <v>2015</v>
      </c>
      <c r="C104" t="s">
        <v>40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132.19999999999999</v>
      </c>
      <c r="Q104">
        <v>132.1</v>
      </c>
      <c r="R104">
        <v>128.19999999999999</v>
      </c>
      <c r="T104">
        <v>125.6</v>
      </c>
      <c r="U104">
        <v>125.6</v>
      </c>
      <c r="V104">
        <v>122.6</v>
      </c>
      <c r="W104">
        <v>114</v>
      </c>
      <c r="X104">
        <v>120.9</v>
      </c>
      <c r="Y104">
        <v>125.8</v>
      </c>
      <c r="Z104">
        <v>114.2</v>
      </c>
      <c r="AA104">
        <v>128.30000000000001</v>
      </c>
      <c r="AB104">
        <f t="shared" si="4"/>
        <v>1553.8999999999999</v>
      </c>
      <c r="AD104">
        <v>125.6</v>
      </c>
      <c r="AE104">
        <f t="shared" si="5"/>
        <v>260.29999999999995</v>
      </c>
      <c r="AF104">
        <f t="shared" si="6"/>
        <v>855.3</v>
      </c>
      <c r="AG104">
        <f t="shared" si="7"/>
        <v>2795.0999999999995</v>
      </c>
    </row>
    <row r="105" spans="1:33" hidden="1" x14ac:dyDescent="0.25">
      <c r="A105" t="s">
        <v>28</v>
      </c>
      <c r="B105">
        <v>2015</v>
      </c>
      <c r="C105" t="s">
        <v>40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137.6</v>
      </c>
      <c r="Q105">
        <v>125</v>
      </c>
      <c r="R105">
        <v>119.3</v>
      </c>
      <c r="S105">
        <v>122.9</v>
      </c>
      <c r="T105">
        <v>115.1</v>
      </c>
      <c r="U105">
        <v>121</v>
      </c>
      <c r="V105">
        <v>118.1</v>
      </c>
      <c r="W105">
        <v>109.3</v>
      </c>
      <c r="X105">
        <v>117.9</v>
      </c>
      <c r="Y105">
        <v>126.6</v>
      </c>
      <c r="Z105">
        <v>113.3</v>
      </c>
      <c r="AA105">
        <v>124.6</v>
      </c>
      <c r="AB105">
        <f t="shared" si="4"/>
        <v>1575.1999999999998</v>
      </c>
      <c r="AC105">
        <v>122.9</v>
      </c>
      <c r="AD105">
        <v>115.1</v>
      </c>
      <c r="AE105">
        <f t="shared" si="5"/>
        <v>244.3</v>
      </c>
      <c r="AF105">
        <f t="shared" si="6"/>
        <v>843.8</v>
      </c>
      <c r="AG105">
        <f t="shared" si="7"/>
        <v>2901.3</v>
      </c>
    </row>
    <row r="106" spans="1:33" hidden="1" x14ac:dyDescent="0.25">
      <c r="A106" t="s">
        <v>29</v>
      </c>
      <c r="B106">
        <v>2015</v>
      </c>
      <c r="C106" t="s">
        <v>40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133.6</v>
      </c>
      <c r="Q106">
        <v>129.30000000000001</v>
      </c>
      <c r="R106">
        <v>124.5</v>
      </c>
      <c r="S106">
        <v>122.9</v>
      </c>
      <c r="T106">
        <v>121.6</v>
      </c>
      <c r="U106">
        <v>123.4</v>
      </c>
      <c r="V106">
        <v>120.9</v>
      </c>
      <c r="W106">
        <v>111.5</v>
      </c>
      <c r="X106">
        <v>119.2</v>
      </c>
      <c r="Y106">
        <v>126.3</v>
      </c>
      <c r="Z106">
        <v>113.8</v>
      </c>
      <c r="AA106">
        <v>126.6</v>
      </c>
      <c r="AB106">
        <f t="shared" si="4"/>
        <v>1559.3999999999999</v>
      </c>
      <c r="AC106">
        <v>122.9</v>
      </c>
      <c r="AD106">
        <v>121.6</v>
      </c>
      <c r="AE106">
        <f t="shared" si="5"/>
        <v>253.8</v>
      </c>
      <c r="AF106">
        <f t="shared" si="6"/>
        <v>848.69999999999993</v>
      </c>
      <c r="AG106">
        <f t="shared" si="7"/>
        <v>2906.3999999999996</v>
      </c>
    </row>
    <row r="107" spans="1:33" hidden="1" x14ac:dyDescent="0.25">
      <c r="A107" t="s">
        <v>26</v>
      </c>
      <c r="B107">
        <v>2015</v>
      </c>
      <c r="C107" t="s">
        <v>41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133.1</v>
      </c>
      <c r="Q107">
        <v>132.5</v>
      </c>
      <c r="R107">
        <v>128.5</v>
      </c>
      <c r="T107">
        <v>125.7</v>
      </c>
      <c r="U107">
        <v>126</v>
      </c>
      <c r="V107">
        <v>123.1</v>
      </c>
      <c r="W107">
        <v>114</v>
      </c>
      <c r="X107">
        <v>121.6</v>
      </c>
      <c r="Y107">
        <v>125.6</v>
      </c>
      <c r="Z107">
        <v>114.1</v>
      </c>
      <c r="AA107">
        <v>127.9</v>
      </c>
      <c r="AB107">
        <f t="shared" si="4"/>
        <v>1550.9</v>
      </c>
      <c r="AD107">
        <v>125.7</v>
      </c>
      <c r="AE107">
        <f t="shared" si="5"/>
        <v>261</v>
      </c>
      <c r="AF107">
        <f t="shared" si="6"/>
        <v>857.50000000000011</v>
      </c>
      <c r="AG107">
        <f t="shared" si="7"/>
        <v>2795.1000000000004</v>
      </c>
    </row>
    <row r="108" spans="1:33" hidden="1" x14ac:dyDescent="0.25">
      <c r="A108" t="s">
        <v>28</v>
      </c>
      <c r="B108">
        <v>2015</v>
      </c>
      <c r="C108" t="s">
        <v>41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138.19999999999999</v>
      </c>
      <c r="Q108">
        <v>125.4</v>
      </c>
      <c r="R108">
        <v>119.5</v>
      </c>
      <c r="S108">
        <v>122.4</v>
      </c>
      <c r="T108">
        <v>116</v>
      </c>
      <c r="U108">
        <v>121</v>
      </c>
      <c r="V108">
        <v>118.6</v>
      </c>
      <c r="W108">
        <v>109.3</v>
      </c>
      <c r="X108">
        <v>118.1</v>
      </c>
      <c r="Y108">
        <v>126.6</v>
      </c>
      <c r="Z108">
        <v>113.2</v>
      </c>
      <c r="AA108">
        <v>124</v>
      </c>
      <c r="AB108">
        <f t="shared" si="4"/>
        <v>1567.3</v>
      </c>
      <c r="AC108">
        <v>122.4</v>
      </c>
      <c r="AD108">
        <v>116</v>
      </c>
      <c r="AE108">
        <f t="shared" si="5"/>
        <v>244.9</v>
      </c>
      <c r="AF108">
        <f t="shared" si="6"/>
        <v>845</v>
      </c>
      <c r="AG108">
        <f t="shared" si="7"/>
        <v>2895.6</v>
      </c>
    </row>
    <row r="109" spans="1:33" hidden="1" x14ac:dyDescent="0.25">
      <c r="A109" t="s">
        <v>29</v>
      </c>
      <c r="B109">
        <v>2015</v>
      </c>
      <c r="C109" t="s">
        <v>41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134.5</v>
      </c>
      <c r="Q109">
        <v>129.69999999999999</v>
      </c>
      <c r="R109">
        <v>124.8</v>
      </c>
      <c r="S109">
        <v>122.4</v>
      </c>
      <c r="T109">
        <v>122</v>
      </c>
      <c r="U109">
        <v>123.6</v>
      </c>
      <c r="V109">
        <v>121.4</v>
      </c>
      <c r="W109">
        <v>111.5</v>
      </c>
      <c r="X109">
        <v>119.6</v>
      </c>
      <c r="Y109">
        <v>126.2</v>
      </c>
      <c r="Z109">
        <v>113.7</v>
      </c>
      <c r="AA109">
        <v>126.1</v>
      </c>
      <c r="AB109">
        <f t="shared" si="4"/>
        <v>1554.7</v>
      </c>
      <c r="AC109">
        <v>122.4</v>
      </c>
      <c r="AD109">
        <v>122</v>
      </c>
      <c r="AE109">
        <f t="shared" si="5"/>
        <v>254.5</v>
      </c>
      <c r="AF109">
        <f t="shared" si="6"/>
        <v>850.50000000000011</v>
      </c>
      <c r="AG109">
        <f t="shared" si="7"/>
        <v>2904.1000000000004</v>
      </c>
    </row>
    <row r="110" spans="1:33" hidden="1" x14ac:dyDescent="0.25">
      <c r="A110" t="s">
        <v>26</v>
      </c>
      <c r="B110">
        <v>2016</v>
      </c>
      <c r="C110" t="s">
        <v>27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133.6</v>
      </c>
      <c r="Q110">
        <v>133.19999999999999</v>
      </c>
      <c r="R110">
        <v>128.9</v>
      </c>
      <c r="T110">
        <v>126.2</v>
      </c>
      <c r="U110">
        <v>126.6</v>
      </c>
      <c r="V110">
        <v>123.7</v>
      </c>
      <c r="W110">
        <v>113.6</v>
      </c>
      <c r="X110">
        <v>121.4</v>
      </c>
      <c r="Y110">
        <v>126.2</v>
      </c>
      <c r="Z110">
        <v>114.9</v>
      </c>
      <c r="AA110">
        <v>128.1</v>
      </c>
      <c r="AB110">
        <f t="shared" si="4"/>
        <v>1558.7</v>
      </c>
      <c r="AD110">
        <v>126.2</v>
      </c>
      <c r="AE110">
        <f t="shared" si="5"/>
        <v>262.10000000000002</v>
      </c>
      <c r="AF110">
        <f t="shared" si="6"/>
        <v>860</v>
      </c>
      <c r="AG110">
        <f t="shared" si="7"/>
        <v>2807</v>
      </c>
    </row>
    <row r="111" spans="1:33" hidden="1" x14ac:dyDescent="0.25">
      <c r="A111" t="s">
        <v>28</v>
      </c>
      <c r="B111">
        <v>2016</v>
      </c>
      <c r="C111" t="s">
        <v>27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139.5</v>
      </c>
      <c r="Q111">
        <v>125.8</v>
      </c>
      <c r="R111">
        <v>119.8</v>
      </c>
      <c r="S111">
        <v>123.4</v>
      </c>
      <c r="T111">
        <v>116.9</v>
      </c>
      <c r="U111">
        <v>121.6</v>
      </c>
      <c r="V111">
        <v>119.1</v>
      </c>
      <c r="W111">
        <v>108.9</v>
      </c>
      <c r="X111">
        <v>118.5</v>
      </c>
      <c r="Y111">
        <v>126.4</v>
      </c>
      <c r="Z111">
        <v>114</v>
      </c>
      <c r="AA111">
        <v>124.2</v>
      </c>
      <c r="AB111">
        <f t="shared" si="4"/>
        <v>1570.2</v>
      </c>
      <c r="AC111">
        <v>123.4</v>
      </c>
      <c r="AD111">
        <v>116.9</v>
      </c>
      <c r="AE111">
        <f t="shared" si="5"/>
        <v>245.6</v>
      </c>
      <c r="AF111">
        <f t="shared" si="6"/>
        <v>848</v>
      </c>
      <c r="AG111">
        <f t="shared" si="7"/>
        <v>2904.1000000000004</v>
      </c>
    </row>
    <row r="112" spans="1:33" hidden="1" x14ac:dyDescent="0.25">
      <c r="A112" t="s">
        <v>29</v>
      </c>
      <c r="B112">
        <v>2016</v>
      </c>
      <c r="C112" t="s">
        <v>27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135.19999999999999</v>
      </c>
      <c r="Q112">
        <v>130.30000000000001</v>
      </c>
      <c r="R112">
        <v>125.1</v>
      </c>
      <c r="S112">
        <v>123.4</v>
      </c>
      <c r="T112">
        <v>122.7</v>
      </c>
      <c r="U112">
        <v>124.2</v>
      </c>
      <c r="V112">
        <v>122</v>
      </c>
      <c r="W112">
        <v>111.1</v>
      </c>
      <c r="X112">
        <v>119.8</v>
      </c>
      <c r="Y112">
        <v>126.3</v>
      </c>
      <c r="Z112">
        <v>114.5</v>
      </c>
      <c r="AA112">
        <v>126.3</v>
      </c>
      <c r="AB112">
        <f t="shared" si="4"/>
        <v>1560.4</v>
      </c>
      <c r="AC112">
        <v>123.4</v>
      </c>
      <c r="AD112">
        <v>122.7</v>
      </c>
      <c r="AE112">
        <f t="shared" si="5"/>
        <v>255.4</v>
      </c>
      <c r="AF112">
        <f t="shared" si="6"/>
        <v>853.09999999999991</v>
      </c>
      <c r="AG112">
        <f t="shared" si="7"/>
        <v>2915</v>
      </c>
    </row>
    <row r="113" spans="1:33" hidden="1" x14ac:dyDescent="0.25">
      <c r="A113" t="s">
        <v>26</v>
      </c>
      <c r="B113">
        <v>2016</v>
      </c>
      <c r="C113" t="s">
        <v>30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134.4</v>
      </c>
      <c r="Q113">
        <v>133.9</v>
      </c>
      <c r="R113">
        <v>129.80000000000001</v>
      </c>
      <c r="T113">
        <v>127.5</v>
      </c>
      <c r="U113">
        <v>127.1</v>
      </c>
      <c r="V113">
        <v>124.3</v>
      </c>
      <c r="W113">
        <v>113.9</v>
      </c>
      <c r="X113">
        <v>122.3</v>
      </c>
      <c r="Y113">
        <v>127.1</v>
      </c>
      <c r="Z113">
        <v>116.8</v>
      </c>
      <c r="AA113">
        <v>127.9</v>
      </c>
      <c r="AB113">
        <f t="shared" si="4"/>
        <v>1552.3</v>
      </c>
      <c r="AD113">
        <v>127.5</v>
      </c>
      <c r="AE113">
        <f t="shared" si="5"/>
        <v>263.70000000000005</v>
      </c>
      <c r="AF113">
        <f t="shared" si="6"/>
        <v>865.89999999999986</v>
      </c>
      <c r="AG113">
        <f t="shared" si="7"/>
        <v>2809.3999999999996</v>
      </c>
    </row>
    <row r="114" spans="1:33" hidden="1" x14ac:dyDescent="0.25">
      <c r="A114" t="s">
        <v>28</v>
      </c>
      <c r="B114">
        <v>2016</v>
      </c>
      <c r="C114" t="s">
        <v>30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140</v>
      </c>
      <c r="Q114">
        <v>126.2</v>
      </c>
      <c r="R114">
        <v>120.1</v>
      </c>
      <c r="S114">
        <v>124.4</v>
      </c>
      <c r="T114">
        <v>116</v>
      </c>
      <c r="U114">
        <v>121.8</v>
      </c>
      <c r="V114">
        <v>119.5</v>
      </c>
      <c r="W114">
        <v>109.1</v>
      </c>
      <c r="X114">
        <v>118.8</v>
      </c>
      <c r="Y114">
        <v>126.3</v>
      </c>
      <c r="Z114">
        <v>116.2</v>
      </c>
      <c r="AA114">
        <v>123.8</v>
      </c>
      <c r="AB114">
        <f t="shared" si="4"/>
        <v>1547</v>
      </c>
      <c r="AC114">
        <v>124.4</v>
      </c>
      <c r="AD114">
        <v>116</v>
      </c>
      <c r="AE114">
        <f t="shared" si="5"/>
        <v>246.3</v>
      </c>
      <c r="AF114">
        <f t="shared" si="6"/>
        <v>851.7</v>
      </c>
      <c r="AG114">
        <f t="shared" si="7"/>
        <v>2885.4</v>
      </c>
    </row>
    <row r="115" spans="1:33" hidden="1" x14ac:dyDescent="0.25">
      <c r="A115" t="s">
        <v>29</v>
      </c>
      <c r="B115">
        <v>2016</v>
      </c>
      <c r="C115" t="s">
        <v>30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135.9</v>
      </c>
      <c r="Q115">
        <v>130.9</v>
      </c>
      <c r="R115">
        <v>125.8</v>
      </c>
      <c r="S115">
        <v>124.4</v>
      </c>
      <c r="T115">
        <v>123.1</v>
      </c>
      <c r="U115">
        <v>124.6</v>
      </c>
      <c r="V115">
        <v>122.5</v>
      </c>
      <c r="W115">
        <v>111.4</v>
      </c>
      <c r="X115">
        <v>120.3</v>
      </c>
      <c r="Y115">
        <v>126.6</v>
      </c>
      <c r="Z115">
        <v>116.6</v>
      </c>
      <c r="AA115">
        <v>126</v>
      </c>
      <c r="AB115">
        <f t="shared" si="4"/>
        <v>1548.1999999999998</v>
      </c>
      <c r="AC115">
        <v>124.4</v>
      </c>
      <c r="AD115">
        <v>123.1</v>
      </c>
      <c r="AE115">
        <f t="shared" si="5"/>
        <v>256.7</v>
      </c>
      <c r="AF115">
        <f t="shared" si="6"/>
        <v>857.9</v>
      </c>
      <c r="AG115">
        <f t="shared" si="7"/>
        <v>2910.2999999999997</v>
      </c>
    </row>
    <row r="116" spans="1:33" hidden="1" x14ac:dyDescent="0.25">
      <c r="A116" t="s">
        <v>26</v>
      </c>
      <c r="B116">
        <v>2016</v>
      </c>
      <c r="C116" t="s">
        <v>31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135</v>
      </c>
      <c r="Q116">
        <v>134.4</v>
      </c>
      <c r="R116">
        <v>130.19999999999999</v>
      </c>
      <c r="T116">
        <v>127</v>
      </c>
      <c r="U116">
        <v>127.7</v>
      </c>
      <c r="V116">
        <v>124.8</v>
      </c>
      <c r="W116">
        <v>113.6</v>
      </c>
      <c r="X116">
        <v>122.5</v>
      </c>
      <c r="Y116">
        <v>127.5</v>
      </c>
      <c r="Z116">
        <v>117.4</v>
      </c>
      <c r="AA116">
        <v>128</v>
      </c>
      <c r="AB116">
        <f t="shared" si="4"/>
        <v>1552.3000000000002</v>
      </c>
      <c r="AD116">
        <v>127</v>
      </c>
      <c r="AE116">
        <f t="shared" si="5"/>
        <v>264.60000000000002</v>
      </c>
      <c r="AF116">
        <f t="shared" si="6"/>
        <v>868.5</v>
      </c>
      <c r="AG116">
        <f t="shared" si="7"/>
        <v>2812.4</v>
      </c>
    </row>
    <row r="117" spans="1:33" hidden="1" x14ac:dyDescent="0.25">
      <c r="A117" t="s">
        <v>28</v>
      </c>
      <c r="B117">
        <v>2016</v>
      </c>
      <c r="C117" t="s">
        <v>31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140.6</v>
      </c>
      <c r="Q117">
        <v>126.4</v>
      </c>
      <c r="R117">
        <v>120.3</v>
      </c>
      <c r="S117">
        <v>124.9</v>
      </c>
      <c r="T117">
        <v>114.8</v>
      </c>
      <c r="U117">
        <v>122.3</v>
      </c>
      <c r="V117">
        <v>119.7</v>
      </c>
      <c r="W117">
        <v>108.5</v>
      </c>
      <c r="X117">
        <v>119.1</v>
      </c>
      <c r="Y117">
        <v>126.4</v>
      </c>
      <c r="Z117">
        <v>117.1</v>
      </c>
      <c r="AA117">
        <v>123.8</v>
      </c>
      <c r="AB117">
        <f t="shared" si="4"/>
        <v>1538.7</v>
      </c>
      <c r="AC117">
        <v>124.9</v>
      </c>
      <c r="AD117">
        <v>114.8</v>
      </c>
      <c r="AE117">
        <f t="shared" si="5"/>
        <v>246.7</v>
      </c>
      <c r="AF117">
        <f t="shared" si="6"/>
        <v>853.7</v>
      </c>
      <c r="AG117">
        <f t="shared" si="7"/>
        <v>2878.8</v>
      </c>
    </row>
    <row r="118" spans="1:33" hidden="1" x14ac:dyDescent="0.25">
      <c r="A118" t="s">
        <v>29</v>
      </c>
      <c r="B118">
        <v>2016</v>
      </c>
      <c r="C118" t="s">
        <v>31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136.5</v>
      </c>
      <c r="Q118">
        <v>131.30000000000001</v>
      </c>
      <c r="R118">
        <v>126.1</v>
      </c>
      <c r="S118">
        <v>124.9</v>
      </c>
      <c r="T118">
        <v>122.4</v>
      </c>
      <c r="U118">
        <v>125.1</v>
      </c>
      <c r="V118">
        <v>122.9</v>
      </c>
      <c r="W118">
        <v>110.9</v>
      </c>
      <c r="X118">
        <v>120.6</v>
      </c>
      <c r="Y118">
        <v>126.9</v>
      </c>
      <c r="Z118">
        <v>117.3</v>
      </c>
      <c r="AA118">
        <v>126</v>
      </c>
      <c r="AB118">
        <f t="shared" si="4"/>
        <v>1545.4</v>
      </c>
      <c r="AC118">
        <v>124.9</v>
      </c>
      <c r="AD118">
        <v>122.4</v>
      </c>
      <c r="AE118">
        <f t="shared" si="5"/>
        <v>257.39999999999998</v>
      </c>
      <c r="AF118">
        <f t="shared" si="6"/>
        <v>860.19999999999993</v>
      </c>
      <c r="AG118">
        <f t="shared" si="7"/>
        <v>2910.3</v>
      </c>
    </row>
    <row r="119" spans="1:33" hidden="1" x14ac:dyDescent="0.25">
      <c r="A119" t="s">
        <v>26</v>
      </c>
      <c r="B119">
        <v>2016</v>
      </c>
      <c r="C119" t="s">
        <v>32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135.5</v>
      </c>
      <c r="Q119">
        <v>135</v>
      </c>
      <c r="R119">
        <v>130.6</v>
      </c>
      <c r="T119">
        <v>127</v>
      </c>
      <c r="U119">
        <v>128</v>
      </c>
      <c r="V119">
        <v>125.2</v>
      </c>
      <c r="W119">
        <v>114.4</v>
      </c>
      <c r="X119">
        <v>123.2</v>
      </c>
      <c r="Y119">
        <v>127.9</v>
      </c>
      <c r="Z119">
        <v>118.4</v>
      </c>
      <c r="AA119">
        <v>129</v>
      </c>
      <c r="AB119">
        <f t="shared" si="4"/>
        <v>1569.8000000000004</v>
      </c>
      <c r="AD119">
        <v>127</v>
      </c>
      <c r="AE119">
        <f t="shared" si="5"/>
        <v>265.60000000000002</v>
      </c>
      <c r="AF119">
        <f t="shared" si="6"/>
        <v>872.6</v>
      </c>
      <c r="AG119">
        <f t="shared" si="7"/>
        <v>2835.0000000000005</v>
      </c>
    </row>
    <row r="120" spans="1:33" hidden="1" x14ac:dyDescent="0.25">
      <c r="A120" t="s">
        <v>28</v>
      </c>
      <c r="B120">
        <v>2016</v>
      </c>
      <c r="C120" t="s">
        <v>32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141.5</v>
      </c>
      <c r="Q120">
        <v>126.8</v>
      </c>
      <c r="R120">
        <v>120.5</v>
      </c>
      <c r="S120">
        <v>125.6</v>
      </c>
      <c r="T120">
        <v>114.6</v>
      </c>
      <c r="U120">
        <v>122.8</v>
      </c>
      <c r="V120">
        <v>120</v>
      </c>
      <c r="W120">
        <v>110</v>
      </c>
      <c r="X120">
        <v>119.5</v>
      </c>
      <c r="Y120">
        <v>127.6</v>
      </c>
      <c r="Z120">
        <v>117.6</v>
      </c>
      <c r="AA120">
        <v>125.3</v>
      </c>
      <c r="AB120">
        <f t="shared" si="4"/>
        <v>1574.5</v>
      </c>
      <c r="AC120">
        <v>125.6</v>
      </c>
      <c r="AD120">
        <v>114.6</v>
      </c>
      <c r="AE120">
        <f t="shared" si="5"/>
        <v>247.3</v>
      </c>
      <c r="AF120">
        <f t="shared" si="6"/>
        <v>859</v>
      </c>
      <c r="AG120">
        <f t="shared" si="7"/>
        <v>2921</v>
      </c>
    </row>
    <row r="121" spans="1:33" hidden="1" x14ac:dyDescent="0.25">
      <c r="A121" t="s">
        <v>29</v>
      </c>
      <c r="B121">
        <v>2016</v>
      </c>
      <c r="C121" t="s">
        <v>32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137.1</v>
      </c>
      <c r="Q121">
        <v>131.80000000000001</v>
      </c>
      <c r="R121">
        <v>126.4</v>
      </c>
      <c r="S121">
        <v>125.6</v>
      </c>
      <c r="T121">
        <v>122.3</v>
      </c>
      <c r="U121">
        <v>125.5</v>
      </c>
      <c r="V121">
        <v>123.2</v>
      </c>
      <c r="W121">
        <v>112.1</v>
      </c>
      <c r="X121">
        <v>121.1</v>
      </c>
      <c r="Y121">
        <v>127.7</v>
      </c>
      <c r="Z121">
        <v>118.1</v>
      </c>
      <c r="AA121">
        <v>127.3</v>
      </c>
      <c r="AB121">
        <f t="shared" si="4"/>
        <v>1569.5</v>
      </c>
      <c r="AC121">
        <v>125.6</v>
      </c>
      <c r="AD121">
        <v>122.3</v>
      </c>
      <c r="AE121">
        <f t="shared" si="5"/>
        <v>258.20000000000005</v>
      </c>
      <c r="AF121">
        <f t="shared" si="6"/>
        <v>864.80000000000007</v>
      </c>
      <c r="AG121">
        <f t="shared" si="7"/>
        <v>2940.4</v>
      </c>
    </row>
    <row r="122" spans="1:33" hidden="1" x14ac:dyDescent="0.25">
      <c r="A122" t="s">
        <v>26</v>
      </c>
      <c r="B122">
        <v>2016</v>
      </c>
      <c r="C122" t="s">
        <v>33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136</v>
      </c>
      <c r="Q122">
        <v>135.4</v>
      </c>
      <c r="R122">
        <v>131.1</v>
      </c>
      <c r="T122">
        <v>127.4</v>
      </c>
      <c r="U122">
        <v>128.5</v>
      </c>
      <c r="V122">
        <v>125.8</v>
      </c>
      <c r="W122">
        <v>115.1</v>
      </c>
      <c r="X122">
        <v>123.6</v>
      </c>
      <c r="Y122">
        <v>129.1</v>
      </c>
      <c r="Z122">
        <v>119.7</v>
      </c>
      <c r="AA122">
        <v>130.30000000000001</v>
      </c>
      <c r="AB122">
        <f t="shared" si="4"/>
        <v>1590.1</v>
      </c>
      <c r="AD122">
        <v>127.4</v>
      </c>
      <c r="AE122">
        <f t="shared" si="5"/>
        <v>266.5</v>
      </c>
      <c r="AF122">
        <f t="shared" si="6"/>
        <v>877.80000000000007</v>
      </c>
      <c r="AG122">
        <f t="shared" si="7"/>
        <v>2861.8</v>
      </c>
    </row>
    <row r="123" spans="1:33" hidden="1" x14ac:dyDescent="0.25">
      <c r="A123" t="s">
        <v>28</v>
      </c>
      <c r="B123">
        <v>2016</v>
      </c>
      <c r="C123" t="s">
        <v>33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142.19999999999999</v>
      </c>
      <c r="Q123">
        <v>127.2</v>
      </c>
      <c r="R123">
        <v>120.7</v>
      </c>
      <c r="S123">
        <v>126</v>
      </c>
      <c r="T123">
        <v>115</v>
      </c>
      <c r="U123">
        <v>123.2</v>
      </c>
      <c r="V123">
        <v>120.3</v>
      </c>
      <c r="W123">
        <v>110.7</v>
      </c>
      <c r="X123">
        <v>119.8</v>
      </c>
      <c r="Y123">
        <v>128</v>
      </c>
      <c r="Z123">
        <v>118.5</v>
      </c>
      <c r="AA123">
        <v>126.6</v>
      </c>
      <c r="AB123">
        <f t="shared" si="4"/>
        <v>1612.1999999999998</v>
      </c>
      <c r="AC123">
        <v>126</v>
      </c>
      <c r="AD123">
        <v>115</v>
      </c>
      <c r="AE123">
        <f t="shared" si="5"/>
        <v>247.9</v>
      </c>
      <c r="AF123">
        <f t="shared" si="6"/>
        <v>862.7</v>
      </c>
      <c r="AG123">
        <f t="shared" si="7"/>
        <v>2963.8</v>
      </c>
    </row>
    <row r="124" spans="1:33" hidden="1" x14ac:dyDescent="0.25">
      <c r="A124" t="s">
        <v>29</v>
      </c>
      <c r="B124">
        <v>2016</v>
      </c>
      <c r="C124" t="s">
        <v>33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137.69999999999999</v>
      </c>
      <c r="Q124">
        <v>132.19999999999999</v>
      </c>
      <c r="R124">
        <v>126.8</v>
      </c>
      <c r="S124">
        <v>126</v>
      </c>
      <c r="T124">
        <v>122.7</v>
      </c>
      <c r="U124">
        <v>126</v>
      </c>
      <c r="V124">
        <v>123.7</v>
      </c>
      <c r="W124">
        <v>112.8</v>
      </c>
      <c r="X124">
        <v>121.5</v>
      </c>
      <c r="Y124">
        <v>128.5</v>
      </c>
      <c r="Z124">
        <v>119.2</v>
      </c>
      <c r="AA124">
        <v>128.6</v>
      </c>
      <c r="AB124">
        <f t="shared" si="4"/>
        <v>1596.4</v>
      </c>
      <c r="AC124">
        <v>126</v>
      </c>
      <c r="AD124">
        <v>122.7</v>
      </c>
      <c r="AE124">
        <f t="shared" si="5"/>
        <v>259</v>
      </c>
      <c r="AF124">
        <f t="shared" si="6"/>
        <v>869.40000000000009</v>
      </c>
      <c r="AG124">
        <f t="shared" si="7"/>
        <v>2973.5000000000005</v>
      </c>
    </row>
    <row r="125" spans="1:33" hidden="1" x14ac:dyDescent="0.25">
      <c r="A125" t="s">
        <v>26</v>
      </c>
      <c r="B125">
        <v>2016</v>
      </c>
      <c r="C125" t="s">
        <v>34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137.19999999999999</v>
      </c>
      <c r="Q125">
        <v>136.30000000000001</v>
      </c>
      <c r="R125">
        <v>131.6</v>
      </c>
      <c r="T125">
        <v>128</v>
      </c>
      <c r="U125">
        <v>129.30000000000001</v>
      </c>
      <c r="V125">
        <v>126.2</v>
      </c>
      <c r="W125">
        <v>116.3</v>
      </c>
      <c r="X125">
        <v>124.1</v>
      </c>
      <c r="Y125">
        <v>130.19999999999999</v>
      </c>
      <c r="Z125">
        <v>119.9</v>
      </c>
      <c r="AA125">
        <v>131.9</v>
      </c>
      <c r="AB125">
        <f t="shared" si="4"/>
        <v>1612.6</v>
      </c>
      <c r="AD125">
        <v>128</v>
      </c>
      <c r="AE125">
        <f t="shared" si="5"/>
        <v>267.89999999999998</v>
      </c>
      <c r="AF125">
        <f t="shared" si="6"/>
        <v>883.19999999999982</v>
      </c>
      <c r="AG125">
        <f t="shared" si="7"/>
        <v>2891.7</v>
      </c>
    </row>
    <row r="126" spans="1:33" hidden="1" x14ac:dyDescent="0.25">
      <c r="A126" t="s">
        <v>28</v>
      </c>
      <c r="B126">
        <v>2016</v>
      </c>
      <c r="C126" t="s">
        <v>34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142.69999999999999</v>
      </c>
      <c r="Q126">
        <v>127.6</v>
      </c>
      <c r="R126">
        <v>121.1</v>
      </c>
      <c r="S126">
        <v>125.5</v>
      </c>
      <c r="T126">
        <v>115.5</v>
      </c>
      <c r="U126">
        <v>123.2</v>
      </c>
      <c r="V126">
        <v>120.6</v>
      </c>
      <c r="W126">
        <v>112.3</v>
      </c>
      <c r="X126">
        <v>119.9</v>
      </c>
      <c r="Y126">
        <v>129.30000000000001</v>
      </c>
      <c r="Z126">
        <v>118.8</v>
      </c>
      <c r="AA126">
        <v>128.1</v>
      </c>
      <c r="AB126">
        <f t="shared" si="4"/>
        <v>1648.8000000000002</v>
      </c>
      <c r="AC126">
        <v>125.5</v>
      </c>
      <c r="AD126">
        <v>115.5</v>
      </c>
      <c r="AE126">
        <f t="shared" si="5"/>
        <v>248.7</v>
      </c>
      <c r="AF126">
        <f t="shared" si="6"/>
        <v>866.8</v>
      </c>
      <c r="AG126">
        <f t="shared" si="7"/>
        <v>3005.3</v>
      </c>
    </row>
    <row r="127" spans="1:33" hidden="1" x14ac:dyDescent="0.25">
      <c r="A127" t="s">
        <v>29</v>
      </c>
      <c r="B127">
        <v>2016</v>
      </c>
      <c r="C127" t="s">
        <v>34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138.69999999999999</v>
      </c>
      <c r="Q127">
        <v>132.9</v>
      </c>
      <c r="R127">
        <v>127.2</v>
      </c>
      <c r="S127">
        <v>125.5</v>
      </c>
      <c r="T127">
        <v>123.3</v>
      </c>
      <c r="U127">
        <v>126.4</v>
      </c>
      <c r="V127">
        <v>124.1</v>
      </c>
      <c r="W127">
        <v>114.2</v>
      </c>
      <c r="X127">
        <v>121.7</v>
      </c>
      <c r="Y127">
        <v>129.69999999999999</v>
      </c>
      <c r="Z127">
        <v>119.4</v>
      </c>
      <c r="AA127">
        <v>130.1</v>
      </c>
      <c r="AB127">
        <f t="shared" si="4"/>
        <v>1623.8</v>
      </c>
      <c r="AC127">
        <v>125.5</v>
      </c>
      <c r="AD127">
        <v>123.3</v>
      </c>
      <c r="AE127">
        <f t="shared" si="5"/>
        <v>260.10000000000002</v>
      </c>
      <c r="AF127">
        <f t="shared" si="6"/>
        <v>874.19999999999982</v>
      </c>
      <c r="AG127">
        <f t="shared" si="7"/>
        <v>3006.8999999999996</v>
      </c>
    </row>
    <row r="128" spans="1:33" hidden="1" x14ac:dyDescent="0.25">
      <c r="A128" t="s">
        <v>26</v>
      </c>
      <c r="B128">
        <v>2016</v>
      </c>
      <c r="C128" t="s">
        <v>35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138</v>
      </c>
      <c r="Q128">
        <v>137.19999999999999</v>
      </c>
      <c r="R128">
        <v>132.19999999999999</v>
      </c>
      <c r="T128">
        <v>128.19999999999999</v>
      </c>
      <c r="U128">
        <v>130</v>
      </c>
      <c r="V128">
        <v>126.7</v>
      </c>
      <c r="W128">
        <v>116.4</v>
      </c>
      <c r="X128">
        <v>125.2</v>
      </c>
      <c r="Y128">
        <v>130.80000000000001</v>
      </c>
      <c r="Z128">
        <v>120.9</v>
      </c>
      <c r="AA128">
        <v>133</v>
      </c>
      <c r="AB128">
        <f t="shared" si="4"/>
        <v>1632.6999999999998</v>
      </c>
      <c r="AD128">
        <v>128.19999999999999</v>
      </c>
      <c r="AE128">
        <f t="shared" si="5"/>
        <v>269.39999999999998</v>
      </c>
      <c r="AF128">
        <f t="shared" si="6"/>
        <v>888</v>
      </c>
      <c r="AG128">
        <f t="shared" si="7"/>
        <v>2918.2999999999997</v>
      </c>
    </row>
    <row r="129" spans="1:33" hidden="1" x14ac:dyDescent="0.25">
      <c r="A129" t="s">
        <v>28</v>
      </c>
      <c r="B129">
        <v>2016</v>
      </c>
      <c r="C129" t="s">
        <v>35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142.9</v>
      </c>
      <c r="Q129">
        <v>127.9</v>
      </c>
      <c r="R129">
        <v>121.1</v>
      </c>
      <c r="S129">
        <v>126.4</v>
      </c>
      <c r="T129">
        <v>115.5</v>
      </c>
      <c r="U129">
        <v>123.5</v>
      </c>
      <c r="V129">
        <v>120.9</v>
      </c>
      <c r="W129">
        <v>111.7</v>
      </c>
      <c r="X129">
        <v>120.3</v>
      </c>
      <c r="Y129">
        <v>130.80000000000001</v>
      </c>
      <c r="Z129">
        <v>120</v>
      </c>
      <c r="AA129">
        <v>129</v>
      </c>
      <c r="AB129">
        <f t="shared" si="4"/>
        <v>1671.7000000000003</v>
      </c>
      <c r="AC129">
        <v>126.4</v>
      </c>
      <c r="AD129">
        <v>115.5</v>
      </c>
      <c r="AE129">
        <f t="shared" si="5"/>
        <v>249</v>
      </c>
      <c r="AF129">
        <f t="shared" si="6"/>
        <v>870.1</v>
      </c>
      <c r="AG129">
        <f t="shared" si="7"/>
        <v>3032.7000000000003</v>
      </c>
    </row>
    <row r="130" spans="1:33" hidden="1" x14ac:dyDescent="0.25">
      <c r="A130" t="s">
        <v>29</v>
      </c>
      <c r="B130">
        <v>2016</v>
      </c>
      <c r="C130" t="s">
        <v>35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139.30000000000001</v>
      </c>
      <c r="Q130">
        <v>133.5</v>
      </c>
      <c r="R130">
        <v>127.6</v>
      </c>
      <c r="S130">
        <v>126.4</v>
      </c>
      <c r="T130">
        <v>123.4</v>
      </c>
      <c r="U130">
        <v>126.9</v>
      </c>
      <c r="V130">
        <v>124.5</v>
      </c>
      <c r="W130">
        <v>113.9</v>
      </c>
      <c r="X130">
        <v>122.4</v>
      </c>
      <c r="Y130">
        <v>130.80000000000001</v>
      </c>
      <c r="Z130">
        <v>120.5</v>
      </c>
      <c r="AA130">
        <v>131.1</v>
      </c>
      <c r="AB130">
        <f t="shared" si="4"/>
        <v>1645.1</v>
      </c>
      <c r="AC130">
        <v>126.4</v>
      </c>
      <c r="AD130">
        <v>123.4</v>
      </c>
      <c r="AE130">
        <f t="shared" si="5"/>
        <v>261.10000000000002</v>
      </c>
      <c r="AF130">
        <f t="shared" si="6"/>
        <v>878.3</v>
      </c>
      <c r="AG130">
        <f t="shared" si="7"/>
        <v>3034.3</v>
      </c>
    </row>
    <row r="131" spans="1:33" hidden="1" x14ac:dyDescent="0.25">
      <c r="A131" t="s">
        <v>26</v>
      </c>
      <c r="B131">
        <v>2016</v>
      </c>
      <c r="C131" t="s">
        <v>36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138.9</v>
      </c>
      <c r="Q131">
        <v>137.80000000000001</v>
      </c>
      <c r="R131">
        <v>133</v>
      </c>
      <c r="T131">
        <v>129.1</v>
      </c>
      <c r="U131">
        <v>130.6</v>
      </c>
      <c r="V131">
        <v>127</v>
      </c>
      <c r="W131">
        <v>116</v>
      </c>
      <c r="X131">
        <v>125.5</v>
      </c>
      <c r="Y131">
        <v>131.9</v>
      </c>
      <c r="Z131">
        <v>122</v>
      </c>
      <c r="AA131">
        <v>133.5</v>
      </c>
      <c r="AB131">
        <f t="shared" ref="AB131:AB194" si="8">SUM(D131:O131)</f>
        <v>1639.4999999999998</v>
      </c>
      <c r="AD131">
        <v>129.1</v>
      </c>
      <c r="AE131">
        <f t="shared" ref="AE131:AE194" si="9">SUM(Q131:R131)</f>
        <v>270.8</v>
      </c>
      <c r="AF131">
        <f t="shared" ref="AF131:AF194" si="10">SUM(U131:Z131,P131)</f>
        <v>891.9</v>
      </c>
      <c r="AG131">
        <f t="shared" ref="AG131:AG194" si="11">SUM(AB131:AF131)</f>
        <v>2931.2999999999997</v>
      </c>
    </row>
    <row r="132" spans="1:33" hidden="1" x14ac:dyDescent="0.25">
      <c r="A132" t="s">
        <v>28</v>
      </c>
      <c r="B132">
        <v>2016</v>
      </c>
      <c r="C132" t="s">
        <v>36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143.6</v>
      </c>
      <c r="Q132">
        <v>128.30000000000001</v>
      </c>
      <c r="R132">
        <v>121.4</v>
      </c>
      <c r="S132">
        <v>127.3</v>
      </c>
      <c r="T132">
        <v>114.7</v>
      </c>
      <c r="U132">
        <v>123.9</v>
      </c>
      <c r="V132">
        <v>121.2</v>
      </c>
      <c r="W132">
        <v>110.4</v>
      </c>
      <c r="X132">
        <v>120.6</v>
      </c>
      <c r="Y132">
        <v>131.5</v>
      </c>
      <c r="Z132">
        <v>120.9</v>
      </c>
      <c r="AA132">
        <v>128.4</v>
      </c>
      <c r="AB132">
        <f t="shared" si="8"/>
        <v>1646.3999999999996</v>
      </c>
      <c r="AC132">
        <v>127.3</v>
      </c>
      <c r="AD132">
        <v>114.7</v>
      </c>
      <c r="AE132">
        <f t="shared" si="9"/>
        <v>249.70000000000002</v>
      </c>
      <c r="AF132">
        <f t="shared" si="10"/>
        <v>872.1</v>
      </c>
      <c r="AG132">
        <f t="shared" si="11"/>
        <v>3010.1999999999994</v>
      </c>
    </row>
    <row r="133" spans="1:33" hidden="1" x14ac:dyDescent="0.25">
      <c r="A133" t="s">
        <v>29</v>
      </c>
      <c r="B133">
        <v>2016</v>
      </c>
      <c r="C133" t="s">
        <v>36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140.19999999999999</v>
      </c>
      <c r="Q133">
        <v>134.1</v>
      </c>
      <c r="R133">
        <v>128.19999999999999</v>
      </c>
      <c r="S133">
        <v>127.3</v>
      </c>
      <c r="T133">
        <v>123.6</v>
      </c>
      <c r="U133">
        <v>127.4</v>
      </c>
      <c r="V133">
        <v>124.8</v>
      </c>
      <c r="W133">
        <v>113.1</v>
      </c>
      <c r="X133">
        <v>122.7</v>
      </c>
      <c r="Y133">
        <v>131.69999999999999</v>
      </c>
      <c r="Z133">
        <v>121.5</v>
      </c>
      <c r="AA133">
        <v>131.1</v>
      </c>
      <c r="AB133">
        <f t="shared" si="8"/>
        <v>1640</v>
      </c>
      <c r="AC133">
        <v>127.3</v>
      </c>
      <c r="AD133">
        <v>123.6</v>
      </c>
      <c r="AE133">
        <f t="shared" si="9"/>
        <v>262.29999999999995</v>
      </c>
      <c r="AF133">
        <f t="shared" si="10"/>
        <v>881.39999999999986</v>
      </c>
      <c r="AG133">
        <f t="shared" si="11"/>
        <v>3034.5999999999995</v>
      </c>
    </row>
    <row r="134" spans="1:33" hidden="1" x14ac:dyDescent="0.25">
      <c r="A134" t="s">
        <v>26</v>
      </c>
      <c r="B134">
        <v>2016</v>
      </c>
      <c r="C134" t="s">
        <v>37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139.9</v>
      </c>
      <c r="Q134">
        <v>138.5</v>
      </c>
      <c r="R134">
        <v>133.5</v>
      </c>
      <c r="T134">
        <v>129.69999999999999</v>
      </c>
      <c r="U134">
        <v>131.1</v>
      </c>
      <c r="V134">
        <v>127.8</v>
      </c>
      <c r="W134">
        <v>117</v>
      </c>
      <c r="X134">
        <v>125.7</v>
      </c>
      <c r="Y134">
        <v>132.19999999999999</v>
      </c>
      <c r="Z134">
        <v>122.8</v>
      </c>
      <c r="AA134">
        <v>133.4</v>
      </c>
      <c r="AB134">
        <f t="shared" si="8"/>
        <v>1633.5</v>
      </c>
      <c r="AD134">
        <v>129.69999999999999</v>
      </c>
      <c r="AE134">
        <f t="shared" si="9"/>
        <v>272</v>
      </c>
      <c r="AF134">
        <f t="shared" si="10"/>
        <v>896.49999999999989</v>
      </c>
      <c r="AG134">
        <f t="shared" si="11"/>
        <v>2931.7</v>
      </c>
    </row>
    <row r="135" spans="1:33" hidden="1" x14ac:dyDescent="0.25">
      <c r="A135" t="s">
        <v>28</v>
      </c>
      <c r="B135">
        <v>2016</v>
      </c>
      <c r="C135" t="s">
        <v>37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143.9</v>
      </c>
      <c r="Q135">
        <v>128.69999999999999</v>
      </c>
      <c r="R135">
        <v>121.6</v>
      </c>
      <c r="S135">
        <v>127.9</v>
      </c>
      <c r="T135">
        <v>114.8</v>
      </c>
      <c r="U135">
        <v>124.3</v>
      </c>
      <c r="V135">
        <v>121.4</v>
      </c>
      <c r="W135">
        <v>111.8</v>
      </c>
      <c r="X135">
        <v>120.8</v>
      </c>
      <c r="Y135">
        <v>131.6</v>
      </c>
      <c r="Z135">
        <v>121.2</v>
      </c>
      <c r="AA135">
        <v>128</v>
      </c>
      <c r="AB135">
        <f t="shared" si="8"/>
        <v>1620.6999999999996</v>
      </c>
      <c r="AC135">
        <v>127.9</v>
      </c>
      <c r="AD135">
        <v>114.8</v>
      </c>
      <c r="AE135">
        <f t="shared" si="9"/>
        <v>250.29999999999998</v>
      </c>
      <c r="AF135">
        <f t="shared" si="10"/>
        <v>875</v>
      </c>
      <c r="AG135">
        <f t="shared" si="11"/>
        <v>2988.7</v>
      </c>
    </row>
    <row r="136" spans="1:33" hidden="1" x14ac:dyDescent="0.25">
      <c r="A136" t="s">
        <v>29</v>
      </c>
      <c r="B136">
        <v>2016</v>
      </c>
      <c r="C136" t="s">
        <v>37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141</v>
      </c>
      <c r="Q136">
        <v>134.6</v>
      </c>
      <c r="R136">
        <v>128.6</v>
      </c>
      <c r="S136">
        <v>127.9</v>
      </c>
      <c r="T136">
        <v>124.1</v>
      </c>
      <c r="U136">
        <v>127.9</v>
      </c>
      <c r="V136">
        <v>125.4</v>
      </c>
      <c r="W136">
        <v>114.3</v>
      </c>
      <c r="X136">
        <v>122.9</v>
      </c>
      <c r="Y136">
        <v>131.80000000000001</v>
      </c>
      <c r="Z136">
        <v>122.1</v>
      </c>
      <c r="AA136">
        <v>130.9</v>
      </c>
      <c r="AB136">
        <f t="shared" si="8"/>
        <v>1627.1</v>
      </c>
      <c r="AC136">
        <v>127.9</v>
      </c>
      <c r="AD136">
        <v>124.1</v>
      </c>
      <c r="AE136">
        <f t="shared" si="9"/>
        <v>263.2</v>
      </c>
      <c r="AF136">
        <f t="shared" si="10"/>
        <v>885.4</v>
      </c>
      <c r="AG136">
        <f t="shared" si="11"/>
        <v>3027.7</v>
      </c>
    </row>
    <row r="137" spans="1:33" hidden="1" x14ac:dyDescent="0.25">
      <c r="A137" t="s">
        <v>26</v>
      </c>
      <c r="B137">
        <v>2016</v>
      </c>
      <c r="C137" t="s">
        <v>38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140.9</v>
      </c>
      <c r="Q137">
        <v>139.6</v>
      </c>
      <c r="R137">
        <v>134.30000000000001</v>
      </c>
      <c r="T137">
        <v>129.80000000000001</v>
      </c>
      <c r="U137">
        <v>131.80000000000001</v>
      </c>
      <c r="V137">
        <v>128.69999999999999</v>
      </c>
      <c r="W137">
        <v>117.8</v>
      </c>
      <c r="X137">
        <v>126.5</v>
      </c>
      <c r="Y137">
        <v>133</v>
      </c>
      <c r="Z137">
        <v>123</v>
      </c>
      <c r="AA137">
        <v>133.80000000000001</v>
      </c>
      <c r="AB137">
        <f t="shared" si="8"/>
        <v>1634.4</v>
      </c>
      <c r="AD137">
        <v>129.80000000000001</v>
      </c>
      <c r="AE137">
        <f t="shared" si="9"/>
        <v>273.89999999999998</v>
      </c>
      <c r="AF137">
        <f t="shared" si="10"/>
        <v>901.69999999999993</v>
      </c>
      <c r="AG137">
        <f t="shared" si="11"/>
        <v>2939.7999999999997</v>
      </c>
    </row>
    <row r="138" spans="1:33" hidden="1" x14ac:dyDescent="0.25">
      <c r="A138" t="s">
        <v>28</v>
      </c>
      <c r="B138">
        <v>2016</v>
      </c>
      <c r="C138" t="s">
        <v>38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144.30000000000001</v>
      </c>
      <c r="Q138">
        <v>129.1</v>
      </c>
      <c r="R138">
        <v>121.9</v>
      </c>
      <c r="S138">
        <v>128.69999999999999</v>
      </c>
      <c r="T138">
        <v>115.2</v>
      </c>
      <c r="U138">
        <v>124.5</v>
      </c>
      <c r="V138">
        <v>121.8</v>
      </c>
      <c r="W138">
        <v>112.8</v>
      </c>
      <c r="X138">
        <v>121.2</v>
      </c>
      <c r="Y138">
        <v>131.9</v>
      </c>
      <c r="Z138">
        <v>120.8</v>
      </c>
      <c r="AA138">
        <v>128.6</v>
      </c>
      <c r="AB138">
        <f t="shared" si="8"/>
        <v>1626.6</v>
      </c>
      <c r="AC138">
        <v>128.69999999999999</v>
      </c>
      <c r="AD138">
        <v>115.2</v>
      </c>
      <c r="AE138">
        <f t="shared" si="9"/>
        <v>251</v>
      </c>
      <c r="AF138">
        <f t="shared" si="10"/>
        <v>877.3</v>
      </c>
      <c r="AG138">
        <f t="shared" si="11"/>
        <v>2998.8</v>
      </c>
    </row>
    <row r="139" spans="1:33" hidden="1" x14ac:dyDescent="0.25">
      <c r="A139" t="s">
        <v>29</v>
      </c>
      <c r="B139">
        <v>2016</v>
      </c>
      <c r="C139" t="s">
        <v>38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141.80000000000001</v>
      </c>
      <c r="Q139">
        <v>135.5</v>
      </c>
      <c r="R139">
        <v>129.1</v>
      </c>
      <c r="S139">
        <v>128.69999999999999</v>
      </c>
      <c r="T139">
        <v>124.3</v>
      </c>
      <c r="U139">
        <v>128.4</v>
      </c>
      <c r="V139">
        <v>126.1</v>
      </c>
      <c r="W139">
        <v>115.2</v>
      </c>
      <c r="X139">
        <v>123.5</v>
      </c>
      <c r="Y139">
        <v>132.4</v>
      </c>
      <c r="Z139">
        <v>122.1</v>
      </c>
      <c r="AA139">
        <v>131.4</v>
      </c>
      <c r="AB139">
        <f t="shared" si="8"/>
        <v>1629.7999999999995</v>
      </c>
      <c r="AC139">
        <v>128.69999999999999</v>
      </c>
      <c r="AD139">
        <v>124.3</v>
      </c>
      <c r="AE139">
        <f t="shared" si="9"/>
        <v>264.60000000000002</v>
      </c>
      <c r="AF139">
        <f t="shared" si="10"/>
        <v>889.5</v>
      </c>
      <c r="AG139">
        <f t="shared" si="11"/>
        <v>3036.8999999999996</v>
      </c>
    </row>
    <row r="140" spans="1:33" hidden="1" x14ac:dyDescent="0.25">
      <c r="A140" t="s">
        <v>26</v>
      </c>
      <c r="B140">
        <v>2016</v>
      </c>
      <c r="C140" t="s">
        <v>40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141.19999999999999</v>
      </c>
      <c r="Q140">
        <v>139.9</v>
      </c>
      <c r="R140">
        <v>134.5</v>
      </c>
      <c r="T140">
        <v>130.30000000000001</v>
      </c>
      <c r="U140">
        <v>132.1</v>
      </c>
      <c r="V140">
        <v>129.1</v>
      </c>
      <c r="W140">
        <v>118.2</v>
      </c>
      <c r="X140">
        <v>126.9</v>
      </c>
      <c r="Y140">
        <v>133.69999999999999</v>
      </c>
      <c r="Z140">
        <v>123.5</v>
      </c>
      <c r="AA140">
        <v>133.6</v>
      </c>
      <c r="AB140">
        <f t="shared" si="8"/>
        <v>1628</v>
      </c>
      <c r="AD140">
        <v>130.30000000000001</v>
      </c>
      <c r="AE140">
        <f t="shared" si="9"/>
        <v>274.39999999999998</v>
      </c>
      <c r="AF140">
        <f t="shared" si="10"/>
        <v>904.7</v>
      </c>
      <c r="AG140">
        <f t="shared" si="11"/>
        <v>2937.3999999999996</v>
      </c>
    </row>
    <row r="141" spans="1:33" hidden="1" x14ac:dyDescent="0.25">
      <c r="A141" t="s">
        <v>28</v>
      </c>
      <c r="B141">
        <v>2016</v>
      </c>
      <c r="C141" t="s">
        <v>40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144.30000000000001</v>
      </c>
      <c r="Q141">
        <v>129.6</v>
      </c>
      <c r="R141">
        <v>122.1</v>
      </c>
      <c r="S141">
        <v>129.1</v>
      </c>
      <c r="T141">
        <v>116.2</v>
      </c>
      <c r="U141">
        <v>124.7</v>
      </c>
      <c r="V141">
        <v>122.1</v>
      </c>
      <c r="W141">
        <v>113.4</v>
      </c>
      <c r="X141">
        <v>121.7</v>
      </c>
      <c r="Y141">
        <v>132.1</v>
      </c>
      <c r="Z141">
        <v>121.3</v>
      </c>
      <c r="AA141">
        <v>128.5</v>
      </c>
      <c r="AB141">
        <f t="shared" si="8"/>
        <v>1620</v>
      </c>
      <c r="AC141">
        <v>129.1</v>
      </c>
      <c r="AD141">
        <v>116.2</v>
      </c>
      <c r="AE141">
        <f t="shared" si="9"/>
        <v>251.7</v>
      </c>
      <c r="AF141">
        <f t="shared" si="10"/>
        <v>879.59999999999991</v>
      </c>
      <c r="AG141">
        <f t="shared" si="11"/>
        <v>2996.6</v>
      </c>
    </row>
    <row r="142" spans="1:33" hidden="1" x14ac:dyDescent="0.25">
      <c r="A142" t="s">
        <v>29</v>
      </c>
      <c r="B142">
        <v>2016</v>
      </c>
      <c r="C142" t="s">
        <v>40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142</v>
      </c>
      <c r="Q142">
        <v>135.80000000000001</v>
      </c>
      <c r="R142">
        <v>129.30000000000001</v>
      </c>
      <c r="S142">
        <v>129.1</v>
      </c>
      <c r="T142">
        <v>125</v>
      </c>
      <c r="U142">
        <v>128.6</v>
      </c>
      <c r="V142">
        <v>126.4</v>
      </c>
      <c r="W142">
        <v>115.7</v>
      </c>
      <c r="X142">
        <v>124</v>
      </c>
      <c r="Y142">
        <v>132.80000000000001</v>
      </c>
      <c r="Z142">
        <v>122.6</v>
      </c>
      <c r="AA142">
        <v>131.19999999999999</v>
      </c>
      <c r="AB142">
        <f t="shared" si="8"/>
        <v>1623.7</v>
      </c>
      <c r="AC142">
        <v>129.1</v>
      </c>
      <c r="AD142">
        <v>125</v>
      </c>
      <c r="AE142">
        <f t="shared" si="9"/>
        <v>265.10000000000002</v>
      </c>
      <c r="AF142">
        <f t="shared" si="10"/>
        <v>892.1</v>
      </c>
      <c r="AG142">
        <f t="shared" si="11"/>
        <v>3035</v>
      </c>
    </row>
    <row r="143" spans="1:33" hidden="1" x14ac:dyDescent="0.25">
      <c r="A143" t="s">
        <v>26</v>
      </c>
      <c r="B143">
        <v>2016</v>
      </c>
      <c r="C143" t="s">
        <v>41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142.4</v>
      </c>
      <c r="Q143">
        <v>140.4</v>
      </c>
      <c r="R143">
        <v>135.19999999999999</v>
      </c>
      <c r="T143">
        <v>132</v>
      </c>
      <c r="U143">
        <v>132.9</v>
      </c>
      <c r="V143">
        <v>129.69999999999999</v>
      </c>
      <c r="W143">
        <v>118.6</v>
      </c>
      <c r="X143">
        <v>127.3</v>
      </c>
      <c r="Y143">
        <v>134.19999999999999</v>
      </c>
      <c r="Z143">
        <v>121.9</v>
      </c>
      <c r="AA143">
        <v>132.80000000000001</v>
      </c>
      <c r="AB143">
        <f t="shared" si="8"/>
        <v>1614.3999999999999</v>
      </c>
      <c r="AD143">
        <v>132</v>
      </c>
      <c r="AE143">
        <f t="shared" si="9"/>
        <v>275.60000000000002</v>
      </c>
      <c r="AF143">
        <f t="shared" si="10"/>
        <v>907</v>
      </c>
      <c r="AG143">
        <f t="shared" si="11"/>
        <v>2929</v>
      </c>
    </row>
    <row r="144" spans="1:33" hidden="1" x14ac:dyDescent="0.25">
      <c r="A144" t="s">
        <v>28</v>
      </c>
      <c r="B144">
        <v>2016</v>
      </c>
      <c r="C144" t="s">
        <v>41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145</v>
      </c>
      <c r="Q144">
        <v>130</v>
      </c>
      <c r="R144">
        <v>122.2</v>
      </c>
      <c r="S144">
        <v>128.5</v>
      </c>
      <c r="T144">
        <v>117.8</v>
      </c>
      <c r="U144">
        <v>125</v>
      </c>
      <c r="V144">
        <v>122.3</v>
      </c>
      <c r="W144">
        <v>113.7</v>
      </c>
      <c r="X144">
        <v>121.8</v>
      </c>
      <c r="Y144">
        <v>132.30000000000001</v>
      </c>
      <c r="Z144">
        <v>119.9</v>
      </c>
      <c r="AA144">
        <v>127.6</v>
      </c>
      <c r="AB144">
        <f t="shared" si="8"/>
        <v>1597</v>
      </c>
      <c r="AC144">
        <v>128.5</v>
      </c>
      <c r="AD144">
        <v>117.8</v>
      </c>
      <c r="AE144">
        <f t="shared" si="9"/>
        <v>252.2</v>
      </c>
      <c r="AF144">
        <f t="shared" si="10"/>
        <v>880</v>
      </c>
      <c r="AG144">
        <f t="shared" si="11"/>
        <v>2975.5</v>
      </c>
    </row>
    <row r="145" spans="1:33" hidden="1" x14ac:dyDescent="0.25">
      <c r="A145" t="s">
        <v>29</v>
      </c>
      <c r="B145">
        <v>2016</v>
      </c>
      <c r="C145" t="s">
        <v>41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143.1</v>
      </c>
      <c r="Q145">
        <v>136.30000000000001</v>
      </c>
      <c r="R145">
        <v>129.80000000000001</v>
      </c>
      <c r="S145">
        <v>128.5</v>
      </c>
      <c r="T145">
        <v>126.6</v>
      </c>
      <c r="U145">
        <v>129.19999999999999</v>
      </c>
      <c r="V145">
        <v>126.9</v>
      </c>
      <c r="W145">
        <v>116</v>
      </c>
      <c r="X145">
        <v>124.2</v>
      </c>
      <c r="Y145">
        <v>133.1</v>
      </c>
      <c r="Z145">
        <v>121.1</v>
      </c>
      <c r="AA145">
        <v>130.4</v>
      </c>
      <c r="AB145">
        <f t="shared" si="8"/>
        <v>1606.7</v>
      </c>
      <c r="AC145">
        <v>128.5</v>
      </c>
      <c r="AD145">
        <v>126.6</v>
      </c>
      <c r="AE145">
        <f t="shared" si="9"/>
        <v>266.10000000000002</v>
      </c>
      <c r="AF145">
        <f t="shared" si="10"/>
        <v>893.6</v>
      </c>
      <c r="AG145">
        <f t="shared" si="11"/>
        <v>3021.5</v>
      </c>
    </row>
    <row r="146" spans="1:33" hidden="1" x14ac:dyDescent="0.25">
      <c r="A146" t="s">
        <v>26</v>
      </c>
      <c r="B146">
        <v>2017</v>
      </c>
      <c r="C146" t="s">
        <v>27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143.1</v>
      </c>
      <c r="Q146">
        <v>140.69999999999999</v>
      </c>
      <c r="R146">
        <v>135.80000000000001</v>
      </c>
      <c r="T146">
        <v>132.1</v>
      </c>
      <c r="U146">
        <v>133.19999999999999</v>
      </c>
      <c r="V146">
        <v>129.9</v>
      </c>
      <c r="W146">
        <v>119.1</v>
      </c>
      <c r="X146">
        <v>127</v>
      </c>
      <c r="Y146">
        <v>134.6</v>
      </c>
      <c r="Z146">
        <v>122.3</v>
      </c>
      <c r="AA146">
        <v>132.4</v>
      </c>
      <c r="AB146">
        <f t="shared" si="8"/>
        <v>1603.6000000000001</v>
      </c>
      <c r="AD146">
        <v>132.1</v>
      </c>
      <c r="AE146">
        <f t="shared" si="9"/>
        <v>276.5</v>
      </c>
      <c r="AF146">
        <f t="shared" si="10"/>
        <v>909.2</v>
      </c>
      <c r="AG146">
        <f t="shared" si="11"/>
        <v>2921.4</v>
      </c>
    </row>
    <row r="147" spans="1:33" hidden="1" x14ac:dyDescent="0.25">
      <c r="A147" t="s">
        <v>28</v>
      </c>
      <c r="B147">
        <v>2017</v>
      </c>
      <c r="C147" t="s">
        <v>27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145.6</v>
      </c>
      <c r="Q147">
        <v>130.19999999999999</v>
      </c>
      <c r="R147">
        <v>122.3</v>
      </c>
      <c r="S147">
        <v>129.6</v>
      </c>
      <c r="T147">
        <v>118</v>
      </c>
      <c r="U147">
        <v>125.1</v>
      </c>
      <c r="V147">
        <v>122.6</v>
      </c>
      <c r="W147">
        <v>115.2</v>
      </c>
      <c r="X147">
        <v>122</v>
      </c>
      <c r="Y147">
        <v>132.4</v>
      </c>
      <c r="Z147">
        <v>120.9</v>
      </c>
      <c r="AA147">
        <v>127.8</v>
      </c>
      <c r="AB147">
        <f t="shared" si="8"/>
        <v>1581.2</v>
      </c>
      <c r="AC147">
        <v>129.6</v>
      </c>
      <c r="AD147">
        <v>118</v>
      </c>
      <c r="AE147">
        <f t="shared" si="9"/>
        <v>252.5</v>
      </c>
      <c r="AF147">
        <f t="shared" si="10"/>
        <v>883.8</v>
      </c>
      <c r="AG147">
        <f t="shared" si="11"/>
        <v>2965.1000000000004</v>
      </c>
    </row>
    <row r="148" spans="1:33" hidden="1" x14ac:dyDescent="0.25">
      <c r="A148" t="s">
        <v>29</v>
      </c>
      <c r="B148">
        <v>2017</v>
      </c>
      <c r="C148" t="s">
        <v>27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143.80000000000001</v>
      </c>
      <c r="Q148">
        <v>136.6</v>
      </c>
      <c r="R148">
        <v>130.19999999999999</v>
      </c>
      <c r="S148">
        <v>129.6</v>
      </c>
      <c r="T148">
        <v>126.8</v>
      </c>
      <c r="U148">
        <v>129.4</v>
      </c>
      <c r="V148">
        <v>127.1</v>
      </c>
      <c r="W148">
        <v>117</v>
      </c>
      <c r="X148">
        <v>124.2</v>
      </c>
      <c r="Y148">
        <v>133.30000000000001</v>
      </c>
      <c r="Z148">
        <v>121.7</v>
      </c>
      <c r="AA148">
        <v>130.30000000000001</v>
      </c>
      <c r="AB148">
        <f t="shared" si="8"/>
        <v>1594.1999999999996</v>
      </c>
      <c r="AC148">
        <v>129.6</v>
      </c>
      <c r="AD148">
        <v>126.8</v>
      </c>
      <c r="AE148">
        <f t="shared" si="9"/>
        <v>266.79999999999995</v>
      </c>
      <c r="AF148">
        <f t="shared" si="10"/>
        <v>896.5</v>
      </c>
      <c r="AG148">
        <f t="shared" si="11"/>
        <v>3013.8999999999996</v>
      </c>
    </row>
    <row r="149" spans="1:33" hidden="1" x14ac:dyDescent="0.25">
      <c r="A149" t="s">
        <v>26</v>
      </c>
      <c r="B149">
        <v>2017</v>
      </c>
      <c r="C149" t="s">
        <v>30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143.69999999999999</v>
      </c>
      <c r="Q149">
        <v>140.9</v>
      </c>
      <c r="R149">
        <v>135.80000000000001</v>
      </c>
      <c r="T149">
        <v>133.19999999999999</v>
      </c>
      <c r="U149">
        <v>133.6</v>
      </c>
      <c r="V149">
        <v>130.1</v>
      </c>
      <c r="W149">
        <v>119.5</v>
      </c>
      <c r="X149">
        <v>127.7</v>
      </c>
      <c r="Y149">
        <v>134.9</v>
      </c>
      <c r="Z149">
        <v>123.2</v>
      </c>
      <c r="AA149">
        <v>132.6</v>
      </c>
      <c r="AB149">
        <f t="shared" si="8"/>
        <v>1600.9000000000003</v>
      </c>
      <c r="AD149">
        <v>133.19999999999999</v>
      </c>
      <c r="AE149">
        <f t="shared" si="9"/>
        <v>276.70000000000005</v>
      </c>
      <c r="AF149">
        <f t="shared" si="10"/>
        <v>912.7</v>
      </c>
      <c r="AG149">
        <f t="shared" si="11"/>
        <v>2923.5000000000005</v>
      </c>
    </row>
    <row r="150" spans="1:33" hidden="1" x14ac:dyDescent="0.25">
      <c r="A150" t="s">
        <v>28</v>
      </c>
      <c r="B150">
        <v>2017</v>
      </c>
      <c r="C150" t="s">
        <v>30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146.30000000000001</v>
      </c>
      <c r="Q150">
        <v>130.5</v>
      </c>
      <c r="R150">
        <v>122.5</v>
      </c>
      <c r="S150">
        <v>130.5</v>
      </c>
      <c r="T150">
        <v>119.2</v>
      </c>
      <c r="U150">
        <v>125.3</v>
      </c>
      <c r="V150">
        <v>122.9</v>
      </c>
      <c r="W150">
        <v>115.5</v>
      </c>
      <c r="X150">
        <v>122.2</v>
      </c>
      <c r="Y150">
        <v>132.4</v>
      </c>
      <c r="Z150">
        <v>121.7</v>
      </c>
      <c r="AA150">
        <v>128.19999999999999</v>
      </c>
      <c r="AB150">
        <f t="shared" si="8"/>
        <v>1573.2000000000003</v>
      </c>
      <c r="AC150">
        <v>130.5</v>
      </c>
      <c r="AD150">
        <v>119.2</v>
      </c>
      <c r="AE150">
        <f t="shared" si="9"/>
        <v>253</v>
      </c>
      <c r="AF150">
        <f t="shared" si="10"/>
        <v>886.3</v>
      </c>
      <c r="AG150">
        <f t="shared" si="11"/>
        <v>2962.2000000000007</v>
      </c>
    </row>
    <row r="151" spans="1:33" hidden="1" x14ac:dyDescent="0.25">
      <c r="A151" t="s">
        <v>29</v>
      </c>
      <c r="B151">
        <v>2017</v>
      </c>
      <c r="C151" t="s">
        <v>30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144.4</v>
      </c>
      <c r="Q151">
        <v>136.80000000000001</v>
      </c>
      <c r="R151">
        <v>130.30000000000001</v>
      </c>
      <c r="S151">
        <v>130.5</v>
      </c>
      <c r="T151">
        <v>127.9</v>
      </c>
      <c r="U151">
        <v>129.69999999999999</v>
      </c>
      <c r="V151">
        <v>127.4</v>
      </c>
      <c r="W151">
        <v>117.4</v>
      </c>
      <c r="X151">
        <v>124.6</v>
      </c>
      <c r="Y151">
        <v>133.4</v>
      </c>
      <c r="Z151">
        <v>122.6</v>
      </c>
      <c r="AA151">
        <v>130.6</v>
      </c>
      <c r="AB151">
        <f t="shared" si="8"/>
        <v>1589.3000000000002</v>
      </c>
      <c r="AC151">
        <v>130.5</v>
      </c>
      <c r="AD151">
        <v>127.9</v>
      </c>
      <c r="AE151">
        <f t="shared" si="9"/>
        <v>267.10000000000002</v>
      </c>
      <c r="AF151">
        <f t="shared" si="10"/>
        <v>899.5</v>
      </c>
      <c r="AG151">
        <f t="shared" si="11"/>
        <v>3014.3</v>
      </c>
    </row>
    <row r="152" spans="1:33" hidden="1" x14ac:dyDescent="0.25">
      <c r="A152" t="s">
        <v>26</v>
      </c>
      <c r="B152">
        <v>2017</v>
      </c>
      <c r="C152" t="s">
        <v>31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144.19999999999999</v>
      </c>
      <c r="Q152">
        <v>141.6</v>
      </c>
      <c r="R152">
        <v>136.19999999999999</v>
      </c>
      <c r="T152">
        <v>134.19999999999999</v>
      </c>
      <c r="U152">
        <v>134.1</v>
      </c>
      <c r="V152">
        <v>130.6</v>
      </c>
      <c r="W152">
        <v>119.8</v>
      </c>
      <c r="X152">
        <v>128.30000000000001</v>
      </c>
      <c r="Y152">
        <v>135.19999999999999</v>
      </c>
      <c r="Z152">
        <v>123.3</v>
      </c>
      <c r="AA152">
        <v>132.80000000000001</v>
      </c>
      <c r="AB152">
        <f t="shared" si="8"/>
        <v>1595.1000000000001</v>
      </c>
      <c r="AD152">
        <v>134.19999999999999</v>
      </c>
      <c r="AE152">
        <f t="shared" si="9"/>
        <v>277.79999999999995</v>
      </c>
      <c r="AF152">
        <f t="shared" si="10"/>
        <v>915.5</v>
      </c>
      <c r="AG152">
        <f t="shared" si="11"/>
        <v>2922.6000000000004</v>
      </c>
    </row>
    <row r="153" spans="1:33" hidden="1" x14ac:dyDescent="0.25">
      <c r="A153" t="s">
        <v>28</v>
      </c>
      <c r="B153">
        <v>2017</v>
      </c>
      <c r="C153" t="s">
        <v>31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147.5</v>
      </c>
      <c r="Q153">
        <v>130.80000000000001</v>
      </c>
      <c r="R153">
        <v>122.8</v>
      </c>
      <c r="S153">
        <v>131.1</v>
      </c>
      <c r="T153">
        <v>120.8</v>
      </c>
      <c r="U153">
        <v>125.6</v>
      </c>
      <c r="V153">
        <v>123.1</v>
      </c>
      <c r="W153">
        <v>115.6</v>
      </c>
      <c r="X153">
        <v>122.4</v>
      </c>
      <c r="Y153">
        <v>132.80000000000001</v>
      </c>
      <c r="Z153">
        <v>121.7</v>
      </c>
      <c r="AA153">
        <v>128.69999999999999</v>
      </c>
      <c r="AB153">
        <f t="shared" si="8"/>
        <v>1573.1</v>
      </c>
      <c r="AC153">
        <v>131.1</v>
      </c>
      <c r="AD153">
        <v>120.8</v>
      </c>
      <c r="AE153">
        <f t="shared" si="9"/>
        <v>253.60000000000002</v>
      </c>
      <c r="AF153">
        <f t="shared" si="10"/>
        <v>888.7</v>
      </c>
      <c r="AG153">
        <f t="shared" si="11"/>
        <v>2967.3</v>
      </c>
    </row>
    <row r="154" spans="1:33" hidden="1" x14ac:dyDescent="0.25">
      <c r="A154" t="s">
        <v>29</v>
      </c>
      <c r="B154">
        <v>2017</v>
      </c>
      <c r="C154" t="s">
        <v>31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145.1</v>
      </c>
      <c r="Q154">
        <v>137.30000000000001</v>
      </c>
      <c r="R154">
        <v>130.6</v>
      </c>
      <c r="S154">
        <v>131.1</v>
      </c>
      <c r="T154">
        <v>129.1</v>
      </c>
      <c r="U154">
        <v>130.1</v>
      </c>
      <c r="V154">
        <v>127.8</v>
      </c>
      <c r="W154">
        <v>117.6</v>
      </c>
      <c r="X154">
        <v>125</v>
      </c>
      <c r="Y154">
        <v>133.80000000000001</v>
      </c>
      <c r="Z154">
        <v>122.6</v>
      </c>
      <c r="AA154">
        <v>130.9</v>
      </c>
      <c r="AB154">
        <f t="shared" si="8"/>
        <v>1585.8000000000002</v>
      </c>
      <c r="AC154">
        <v>131.1</v>
      </c>
      <c r="AD154">
        <v>129.1</v>
      </c>
      <c r="AE154">
        <f t="shared" si="9"/>
        <v>267.89999999999998</v>
      </c>
      <c r="AF154">
        <f t="shared" si="10"/>
        <v>902</v>
      </c>
      <c r="AG154">
        <f t="shared" si="11"/>
        <v>3015.9</v>
      </c>
    </row>
    <row r="155" spans="1:33" hidden="1" x14ac:dyDescent="0.25">
      <c r="A155" t="s">
        <v>26</v>
      </c>
      <c r="B155">
        <v>2017</v>
      </c>
      <c r="C155" t="s">
        <v>32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144.4</v>
      </c>
      <c r="Q155">
        <v>142.4</v>
      </c>
      <c r="R155">
        <v>136.80000000000001</v>
      </c>
      <c r="T155">
        <v>135</v>
      </c>
      <c r="U155">
        <v>134.30000000000001</v>
      </c>
      <c r="V155">
        <v>131</v>
      </c>
      <c r="W155">
        <v>119.2</v>
      </c>
      <c r="X155">
        <v>128.30000000000001</v>
      </c>
      <c r="Y155">
        <v>135.69999999999999</v>
      </c>
      <c r="Z155">
        <v>123.7</v>
      </c>
      <c r="AA155">
        <v>132.9</v>
      </c>
      <c r="AB155">
        <f t="shared" si="8"/>
        <v>1592.8</v>
      </c>
      <c r="AD155">
        <v>135</v>
      </c>
      <c r="AE155">
        <f t="shared" si="9"/>
        <v>279.20000000000005</v>
      </c>
      <c r="AF155">
        <f t="shared" si="10"/>
        <v>916.6</v>
      </c>
      <c r="AG155">
        <f t="shared" si="11"/>
        <v>2923.6</v>
      </c>
    </row>
    <row r="156" spans="1:33" hidden="1" x14ac:dyDescent="0.25">
      <c r="A156" t="s">
        <v>28</v>
      </c>
      <c r="B156">
        <v>2017</v>
      </c>
      <c r="C156" t="s">
        <v>32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148</v>
      </c>
      <c r="Q156">
        <v>131.19999999999999</v>
      </c>
      <c r="R156">
        <v>123</v>
      </c>
      <c r="S156">
        <v>131.69999999999999</v>
      </c>
      <c r="T156">
        <v>121.4</v>
      </c>
      <c r="U156">
        <v>126</v>
      </c>
      <c r="V156">
        <v>123.4</v>
      </c>
      <c r="W156">
        <v>114.3</v>
      </c>
      <c r="X156">
        <v>122.6</v>
      </c>
      <c r="Y156">
        <v>133.6</v>
      </c>
      <c r="Z156">
        <v>122.2</v>
      </c>
      <c r="AA156">
        <v>129.1</v>
      </c>
      <c r="AB156">
        <f t="shared" si="8"/>
        <v>1574.6999999999998</v>
      </c>
      <c r="AC156">
        <v>131.69999999999999</v>
      </c>
      <c r="AD156">
        <v>121.4</v>
      </c>
      <c r="AE156">
        <f t="shared" si="9"/>
        <v>254.2</v>
      </c>
      <c r="AF156">
        <f t="shared" si="10"/>
        <v>890.1</v>
      </c>
      <c r="AG156">
        <f t="shared" si="11"/>
        <v>2972.1</v>
      </c>
    </row>
    <row r="157" spans="1:33" hidden="1" x14ac:dyDescent="0.25">
      <c r="A157" t="s">
        <v>29</v>
      </c>
      <c r="B157">
        <v>2017</v>
      </c>
      <c r="C157" t="s">
        <v>32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145.4</v>
      </c>
      <c r="Q157">
        <v>138</v>
      </c>
      <c r="R157">
        <v>131.1</v>
      </c>
      <c r="S157">
        <v>131.69999999999999</v>
      </c>
      <c r="T157">
        <v>129.80000000000001</v>
      </c>
      <c r="U157">
        <v>130.4</v>
      </c>
      <c r="V157">
        <v>128.1</v>
      </c>
      <c r="W157">
        <v>116.6</v>
      </c>
      <c r="X157">
        <v>125.1</v>
      </c>
      <c r="Y157">
        <v>134.5</v>
      </c>
      <c r="Z157">
        <v>123.1</v>
      </c>
      <c r="AA157">
        <v>131.1</v>
      </c>
      <c r="AB157">
        <f t="shared" si="8"/>
        <v>1584.9</v>
      </c>
      <c r="AC157">
        <v>131.69999999999999</v>
      </c>
      <c r="AD157">
        <v>129.80000000000001</v>
      </c>
      <c r="AE157">
        <f t="shared" si="9"/>
        <v>269.10000000000002</v>
      </c>
      <c r="AF157">
        <f t="shared" si="10"/>
        <v>903.2</v>
      </c>
      <c r="AG157">
        <f t="shared" si="11"/>
        <v>3018.7</v>
      </c>
    </row>
    <row r="158" spans="1:33" hidden="1" x14ac:dyDescent="0.25">
      <c r="A158" t="s">
        <v>26</v>
      </c>
      <c r="B158">
        <v>2017</v>
      </c>
      <c r="C158" t="s">
        <v>33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145.5</v>
      </c>
      <c r="Q158">
        <v>142.5</v>
      </c>
      <c r="R158">
        <v>137.30000000000001</v>
      </c>
      <c r="T158">
        <v>135</v>
      </c>
      <c r="U158">
        <v>134.9</v>
      </c>
      <c r="V158">
        <v>131.4</v>
      </c>
      <c r="W158">
        <v>119.4</v>
      </c>
      <c r="X158">
        <v>129.4</v>
      </c>
      <c r="Y158">
        <v>136.30000000000001</v>
      </c>
      <c r="Z158">
        <v>123.7</v>
      </c>
      <c r="AA158">
        <v>133.30000000000001</v>
      </c>
      <c r="AB158">
        <f t="shared" si="8"/>
        <v>1593.6999999999996</v>
      </c>
      <c r="AD158">
        <v>135</v>
      </c>
      <c r="AE158">
        <f t="shared" si="9"/>
        <v>279.8</v>
      </c>
      <c r="AF158">
        <f t="shared" si="10"/>
        <v>920.60000000000014</v>
      </c>
      <c r="AG158">
        <f t="shared" si="11"/>
        <v>2929.0999999999995</v>
      </c>
    </row>
    <row r="159" spans="1:33" hidden="1" x14ac:dyDescent="0.25">
      <c r="A159" t="s">
        <v>28</v>
      </c>
      <c r="B159">
        <v>2017</v>
      </c>
      <c r="C159" t="s">
        <v>33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148.30000000000001</v>
      </c>
      <c r="Q159">
        <v>131.5</v>
      </c>
      <c r="R159">
        <v>123.2</v>
      </c>
      <c r="S159">
        <v>132.1</v>
      </c>
      <c r="T159">
        <v>120.1</v>
      </c>
      <c r="U159">
        <v>126.5</v>
      </c>
      <c r="V159">
        <v>123.6</v>
      </c>
      <c r="W159">
        <v>114.3</v>
      </c>
      <c r="X159">
        <v>122.8</v>
      </c>
      <c r="Y159">
        <v>133.80000000000001</v>
      </c>
      <c r="Z159">
        <v>122</v>
      </c>
      <c r="AA159">
        <v>129.30000000000001</v>
      </c>
      <c r="AB159">
        <f t="shared" si="8"/>
        <v>1576</v>
      </c>
      <c r="AC159">
        <v>132.1</v>
      </c>
      <c r="AD159">
        <v>120.1</v>
      </c>
      <c r="AE159">
        <f t="shared" si="9"/>
        <v>254.7</v>
      </c>
      <c r="AF159">
        <f t="shared" si="10"/>
        <v>891.3</v>
      </c>
      <c r="AG159">
        <f t="shared" si="11"/>
        <v>2974.2</v>
      </c>
    </row>
    <row r="160" spans="1:33" hidden="1" x14ac:dyDescent="0.25">
      <c r="A160" t="s">
        <v>29</v>
      </c>
      <c r="B160">
        <v>2017</v>
      </c>
      <c r="C160" t="s">
        <v>33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146.19999999999999</v>
      </c>
      <c r="Q160">
        <v>138.19999999999999</v>
      </c>
      <c r="R160">
        <v>131.4</v>
      </c>
      <c r="S160">
        <v>132.1</v>
      </c>
      <c r="T160">
        <v>129.4</v>
      </c>
      <c r="U160">
        <v>130.9</v>
      </c>
      <c r="V160">
        <v>128.4</v>
      </c>
      <c r="W160">
        <v>116.7</v>
      </c>
      <c r="X160">
        <v>125.7</v>
      </c>
      <c r="Y160">
        <v>134.80000000000001</v>
      </c>
      <c r="Z160">
        <v>123</v>
      </c>
      <c r="AA160">
        <v>131.4</v>
      </c>
      <c r="AB160">
        <f t="shared" si="8"/>
        <v>1585.9</v>
      </c>
      <c r="AC160">
        <v>132.1</v>
      </c>
      <c r="AD160">
        <v>129.4</v>
      </c>
      <c r="AE160">
        <f t="shared" si="9"/>
        <v>269.60000000000002</v>
      </c>
      <c r="AF160">
        <f t="shared" si="10"/>
        <v>905.7</v>
      </c>
      <c r="AG160">
        <f t="shared" si="11"/>
        <v>3022.7</v>
      </c>
    </row>
    <row r="161" spans="1:33" hidden="1" x14ac:dyDescent="0.25">
      <c r="A161" t="s">
        <v>26</v>
      </c>
      <c r="B161">
        <v>2017</v>
      </c>
      <c r="C161" t="s">
        <v>34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145.80000000000001</v>
      </c>
      <c r="Q161">
        <v>143.1</v>
      </c>
      <c r="R161">
        <v>137.69999999999999</v>
      </c>
      <c r="T161">
        <v>134.80000000000001</v>
      </c>
      <c r="U161">
        <v>135.19999999999999</v>
      </c>
      <c r="V161">
        <v>131.30000000000001</v>
      </c>
      <c r="W161">
        <v>119.4</v>
      </c>
      <c r="X161">
        <v>129.80000000000001</v>
      </c>
      <c r="Y161">
        <v>136.9</v>
      </c>
      <c r="Z161">
        <v>124.1</v>
      </c>
      <c r="AA161">
        <v>133.9</v>
      </c>
      <c r="AB161">
        <f t="shared" si="8"/>
        <v>1603.9</v>
      </c>
      <c r="AD161">
        <v>134.80000000000001</v>
      </c>
      <c r="AE161">
        <f t="shared" si="9"/>
        <v>280.79999999999995</v>
      </c>
      <c r="AF161">
        <f t="shared" si="10"/>
        <v>922.5</v>
      </c>
      <c r="AG161">
        <f t="shared" si="11"/>
        <v>2942</v>
      </c>
    </row>
    <row r="162" spans="1:33" hidden="1" x14ac:dyDescent="0.25">
      <c r="A162" t="s">
        <v>28</v>
      </c>
      <c r="B162">
        <v>2017</v>
      </c>
      <c r="C162" t="s">
        <v>34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148.6</v>
      </c>
      <c r="Q162">
        <v>131.5</v>
      </c>
      <c r="R162">
        <v>123.2</v>
      </c>
      <c r="S162">
        <v>131.4</v>
      </c>
      <c r="T162">
        <v>119</v>
      </c>
      <c r="U162">
        <v>126.8</v>
      </c>
      <c r="V162">
        <v>123.8</v>
      </c>
      <c r="W162">
        <v>113.9</v>
      </c>
      <c r="X162">
        <v>122.9</v>
      </c>
      <c r="Y162">
        <v>134.30000000000001</v>
      </c>
      <c r="Z162">
        <v>122.5</v>
      </c>
      <c r="AA162">
        <v>129.9</v>
      </c>
      <c r="AB162">
        <f t="shared" si="8"/>
        <v>1595.3000000000002</v>
      </c>
      <c r="AC162">
        <v>131.4</v>
      </c>
      <c r="AD162">
        <v>119</v>
      </c>
      <c r="AE162">
        <f t="shared" si="9"/>
        <v>254.7</v>
      </c>
      <c r="AF162">
        <f t="shared" si="10"/>
        <v>892.80000000000007</v>
      </c>
      <c r="AG162">
        <f t="shared" si="11"/>
        <v>2993.2000000000003</v>
      </c>
    </row>
    <row r="163" spans="1:33" hidden="1" x14ac:dyDescent="0.25">
      <c r="A163" t="s">
        <v>29</v>
      </c>
      <c r="B163">
        <v>2017</v>
      </c>
      <c r="C163" t="s">
        <v>34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146.5</v>
      </c>
      <c r="Q163">
        <v>138.5</v>
      </c>
      <c r="R163">
        <v>131.69999999999999</v>
      </c>
      <c r="S163">
        <v>131.4</v>
      </c>
      <c r="T163">
        <v>128.80000000000001</v>
      </c>
      <c r="U163">
        <v>131.19999999999999</v>
      </c>
      <c r="V163">
        <v>128.5</v>
      </c>
      <c r="W163">
        <v>116.5</v>
      </c>
      <c r="X163">
        <v>125.9</v>
      </c>
      <c r="Y163">
        <v>135.4</v>
      </c>
      <c r="Z163">
        <v>123.4</v>
      </c>
      <c r="AA163">
        <v>132</v>
      </c>
      <c r="AB163">
        <f t="shared" si="8"/>
        <v>1599.5</v>
      </c>
      <c r="AC163">
        <v>131.4</v>
      </c>
      <c r="AD163">
        <v>128.80000000000001</v>
      </c>
      <c r="AE163">
        <f t="shared" si="9"/>
        <v>270.2</v>
      </c>
      <c r="AF163">
        <f t="shared" si="10"/>
        <v>907.4</v>
      </c>
      <c r="AG163">
        <f t="shared" si="11"/>
        <v>3037.3</v>
      </c>
    </row>
    <row r="164" spans="1:33" hidden="1" x14ac:dyDescent="0.25">
      <c r="A164" t="s">
        <v>26</v>
      </c>
      <c r="B164">
        <v>2017</v>
      </c>
      <c r="C164" t="s">
        <v>35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147.4</v>
      </c>
      <c r="Q164">
        <v>144.30000000000001</v>
      </c>
      <c r="R164">
        <v>138.1</v>
      </c>
      <c r="T164">
        <v>135.30000000000001</v>
      </c>
      <c r="U164">
        <v>136.1</v>
      </c>
      <c r="V164">
        <v>132.1</v>
      </c>
      <c r="W164">
        <v>119.1</v>
      </c>
      <c r="X164">
        <v>130.6</v>
      </c>
      <c r="Y164">
        <v>138.6</v>
      </c>
      <c r="Z164">
        <v>124.4</v>
      </c>
      <c r="AA164">
        <v>136.19999999999999</v>
      </c>
      <c r="AB164">
        <f t="shared" si="8"/>
        <v>1634.4</v>
      </c>
      <c r="AD164">
        <v>135.30000000000001</v>
      </c>
      <c r="AE164">
        <f t="shared" si="9"/>
        <v>282.39999999999998</v>
      </c>
      <c r="AF164">
        <f t="shared" si="10"/>
        <v>928.3</v>
      </c>
      <c r="AG164">
        <f t="shared" si="11"/>
        <v>2980.3999999999996</v>
      </c>
    </row>
    <row r="165" spans="1:33" hidden="1" x14ac:dyDescent="0.25">
      <c r="A165" t="s">
        <v>28</v>
      </c>
      <c r="B165">
        <v>2017</v>
      </c>
      <c r="C165" t="s">
        <v>35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150.5</v>
      </c>
      <c r="Q165">
        <v>131.6</v>
      </c>
      <c r="R165">
        <v>123.7</v>
      </c>
      <c r="S165">
        <v>132.6</v>
      </c>
      <c r="T165">
        <v>119.7</v>
      </c>
      <c r="U165">
        <v>127.2</v>
      </c>
      <c r="V165">
        <v>125</v>
      </c>
      <c r="W165">
        <v>113.2</v>
      </c>
      <c r="X165">
        <v>123.5</v>
      </c>
      <c r="Y165">
        <v>135.5</v>
      </c>
      <c r="Z165">
        <v>122.4</v>
      </c>
      <c r="AA165">
        <v>131.80000000000001</v>
      </c>
      <c r="AB165">
        <f t="shared" si="8"/>
        <v>1628.3</v>
      </c>
      <c r="AC165">
        <v>132.6</v>
      </c>
      <c r="AD165">
        <v>119.7</v>
      </c>
      <c r="AE165">
        <f t="shared" si="9"/>
        <v>255.3</v>
      </c>
      <c r="AF165">
        <f t="shared" si="10"/>
        <v>897.3</v>
      </c>
      <c r="AG165">
        <f t="shared" si="11"/>
        <v>3033.2</v>
      </c>
    </row>
    <row r="166" spans="1:33" hidden="1" x14ac:dyDescent="0.25">
      <c r="A166" t="s">
        <v>29</v>
      </c>
      <c r="B166">
        <v>2017</v>
      </c>
      <c r="C166" t="s">
        <v>35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148.19999999999999</v>
      </c>
      <c r="Q166">
        <v>139.30000000000001</v>
      </c>
      <c r="R166">
        <v>132.1</v>
      </c>
      <c r="S166">
        <v>132.6</v>
      </c>
      <c r="T166">
        <v>129.4</v>
      </c>
      <c r="U166">
        <v>131.9</v>
      </c>
      <c r="V166">
        <v>129.4</v>
      </c>
      <c r="W166">
        <v>116</v>
      </c>
      <c r="X166">
        <v>126.6</v>
      </c>
      <c r="Y166">
        <v>136.80000000000001</v>
      </c>
      <c r="Z166">
        <v>123.6</v>
      </c>
      <c r="AA166">
        <v>134.19999999999999</v>
      </c>
      <c r="AB166">
        <f t="shared" si="8"/>
        <v>1630.3999999999999</v>
      </c>
      <c r="AC166">
        <v>132.6</v>
      </c>
      <c r="AD166">
        <v>129.4</v>
      </c>
      <c r="AE166">
        <f t="shared" si="9"/>
        <v>271.39999999999998</v>
      </c>
      <c r="AF166">
        <f t="shared" si="10"/>
        <v>912.5</v>
      </c>
      <c r="AG166">
        <f t="shared" si="11"/>
        <v>3076.2999999999997</v>
      </c>
    </row>
    <row r="167" spans="1:33" hidden="1" x14ac:dyDescent="0.25">
      <c r="A167" t="s">
        <v>26</v>
      </c>
      <c r="B167">
        <v>2017</v>
      </c>
      <c r="C167" t="s">
        <v>36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149</v>
      </c>
      <c r="Q167">
        <v>145.30000000000001</v>
      </c>
      <c r="R167">
        <v>139.19999999999999</v>
      </c>
      <c r="T167">
        <v>136.4</v>
      </c>
      <c r="U167">
        <v>137.30000000000001</v>
      </c>
      <c r="V167">
        <v>133</v>
      </c>
      <c r="W167">
        <v>120.3</v>
      </c>
      <c r="X167">
        <v>131.5</v>
      </c>
      <c r="Y167">
        <v>140.19999999999999</v>
      </c>
      <c r="Z167">
        <v>125.4</v>
      </c>
      <c r="AA167">
        <v>137.80000000000001</v>
      </c>
      <c r="AB167">
        <f t="shared" si="8"/>
        <v>1651.8999999999999</v>
      </c>
      <c r="AD167">
        <v>136.4</v>
      </c>
      <c r="AE167">
        <f t="shared" si="9"/>
        <v>284.5</v>
      </c>
      <c r="AF167">
        <f t="shared" si="10"/>
        <v>936.69999999999993</v>
      </c>
      <c r="AG167">
        <f t="shared" si="11"/>
        <v>3009.5</v>
      </c>
    </row>
    <row r="168" spans="1:33" hidden="1" x14ac:dyDescent="0.25">
      <c r="A168" t="s">
        <v>28</v>
      </c>
      <c r="B168">
        <v>2017</v>
      </c>
      <c r="C168" t="s">
        <v>36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152.1</v>
      </c>
      <c r="Q168">
        <v>132.69999999999999</v>
      </c>
      <c r="R168">
        <v>124.3</v>
      </c>
      <c r="S168">
        <v>134.4</v>
      </c>
      <c r="T168">
        <v>118.9</v>
      </c>
      <c r="U168">
        <v>127.7</v>
      </c>
      <c r="V168">
        <v>125.7</v>
      </c>
      <c r="W168">
        <v>114.6</v>
      </c>
      <c r="X168">
        <v>124.1</v>
      </c>
      <c r="Y168">
        <v>135.69999999999999</v>
      </c>
      <c r="Z168">
        <v>123.3</v>
      </c>
      <c r="AA168">
        <v>132.69999999999999</v>
      </c>
      <c r="AB168">
        <f t="shared" si="8"/>
        <v>1632.4999999999998</v>
      </c>
      <c r="AC168">
        <v>134.4</v>
      </c>
      <c r="AD168">
        <v>118.9</v>
      </c>
      <c r="AE168">
        <f t="shared" si="9"/>
        <v>257</v>
      </c>
      <c r="AF168">
        <f t="shared" si="10"/>
        <v>903.19999999999993</v>
      </c>
      <c r="AG168">
        <f t="shared" si="11"/>
        <v>3046</v>
      </c>
    </row>
    <row r="169" spans="1:33" hidden="1" x14ac:dyDescent="0.25">
      <c r="A169" t="s">
        <v>29</v>
      </c>
      <c r="B169">
        <v>2017</v>
      </c>
      <c r="C169" t="s">
        <v>36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149.80000000000001</v>
      </c>
      <c r="Q169">
        <v>140.30000000000001</v>
      </c>
      <c r="R169">
        <v>133</v>
      </c>
      <c r="S169">
        <v>134.4</v>
      </c>
      <c r="T169">
        <v>129.80000000000001</v>
      </c>
      <c r="U169">
        <v>132.80000000000001</v>
      </c>
      <c r="V169">
        <v>130.19999999999999</v>
      </c>
      <c r="W169">
        <v>117.3</v>
      </c>
      <c r="X169">
        <v>127.3</v>
      </c>
      <c r="Y169">
        <v>137.6</v>
      </c>
      <c r="Z169">
        <v>124.5</v>
      </c>
      <c r="AA169">
        <v>135.4</v>
      </c>
      <c r="AB169">
        <f t="shared" si="8"/>
        <v>1643.2</v>
      </c>
      <c r="AC169">
        <v>134.4</v>
      </c>
      <c r="AD169">
        <v>129.80000000000001</v>
      </c>
      <c r="AE169">
        <f t="shared" si="9"/>
        <v>273.3</v>
      </c>
      <c r="AF169">
        <f t="shared" si="10"/>
        <v>919.5</v>
      </c>
      <c r="AG169">
        <f t="shared" si="11"/>
        <v>3100.2000000000003</v>
      </c>
    </row>
    <row r="170" spans="1:33" hidden="1" x14ac:dyDescent="0.25">
      <c r="A170" t="s">
        <v>26</v>
      </c>
      <c r="B170">
        <v>2017</v>
      </c>
      <c r="C170" t="s">
        <v>37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149.80000000000001</v>
      </c>
      <c r="Q170">
        <v>146.1</v>
      </c>
      <c r="R170">
        <v>139.69999999999999</v>
      </c>
      <c r="T170">
        <v>137.4</v>
      </c>
      <c r="U170">
        <v>137.9</v>
      </c>
      <c r="V170">
        <v>133.4</v>
      </c>
      <c r="W170">
        <v>121.2</v>
      </c>
      <c r="X170">
        <v>132.30000000000001</v>
      </c>
      <c r="Y170">
        <v>139.6</v>
      </c>
      <c r="Z170">
        <v>126.7</v>
      </c>
      <c r="AA170">
        <v>137.6</v>
      </c>
      <c r="AB170">
        <f t="shared" si="8"/>
        <v>1644.7</v>
      </c>
      <c r="AD170">
        <v>137.4</v>
      </c>
      <c r="AE170">
        <f t="shared" si="9"/>
        <v>285.79999999999995</v>
      </c>
      <c r="AF170">
        <f t="shared" si="10"/>
        <v>940.90000000000009</v>
      </c>
      <c r="AG170">
        <f t="shared" si="11"/>
        <v>3008.8</v>
      </c>
    </row>
    <row r="171" spans="1:33" hidden="1" x14ac:dyDescent="0.25">
      <c r="A171" t="s">
        <v>28</v>
      </c>
      <c r="B171">
        <v>2017</v>
      </c>
      <c r="C171" t="s">
        <v>37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153.6</v>
      </c>
      <c r="Q171">
        <v>133.30000000000001</v>
      </c>
      <c r="R171">
        <v>124.6</v>
      </c>
      <c r="S171">
        <v>135.69999999999999</v>
      </c>
      <c r="T171">
        <v>120.6</v>
      </c>
      <c r="U171">
        <v>128.1</v>
      </c>
      <c r="V171">
        <v>126.1</v>
      </c>
      <c r="W171">
        <v>115.7</v>
      </c>
      <c r="X171">
        <v>124.5</v>
      </c>
      <c r="Y171">
        <v>135.9</v>
      </c>
      <c r="Z171">
        <v>124.4</v>
      </c>
      <c r="AA171">
        <v>132.4</v>
      </c>
      <c r="AB171">
        <f t="shared" si="8"/>
        <v>1611.7</v>
      </c>
      <c r="AC171">
        <v>135.69999999999999</v>
      </c>
      <c r="AD171">
        <v>120.6</v>
      </c>
      <c r="AE171">
        <f t="shared" si="9"/>
        <v>257.89999999999998</v>
      </c>
      <c r="AF171">
        <f t="shared" si="10"/>
        <v>908.3</v>
      </c>
      <c r="AG171">
        <f t="shared" si="11"/>
        <v>3034.2</v>
      </c>
    </row>
    <row r="172" spans="1:33" hidden="1" x14ac:dyDescent="0.25">
      <c r="A172" t="s">
        <v>29</v>
      </c>
      <c r="B172">
        <v>2017</v>
      </c>
      <c r="C172" t="s">
        <v>37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150.80000000000001</v>
      </c>
      <c r="Q172">
        <v>141.1</v>
      </c>
      <c r="R172">
        <v>133.4</v>
      </c>
      <c r="S172">
        <v>135.69999999999999</v>
      </c>
      <c r="T172">
        <v>131</v>
      </c>
      <c r="U172">
        <v>133.30000000000001</v>
      </c>
      <c r="V172">
        <v>130.6</v>
      </c>
      <c r="W172">
        <v>118.3</v>
      </c>
      <c r="X172">
        <v>127.9</v>
      </c>
      <c r="Y172">
        <v>137.4</v>
      </c>
      <c r="Z172">
        <v>125.7</v>
      </c>
      <c r="AA172">
        <v>135.19999999999999</v>
      </c>
      <c r="AB172">
        <f t="shared" si="8"/>
        <v>1630.9999999999998</v>
      </c>
      <c r="AC172">
        <v>135.69999999999999</v>
      </c>
      <c r="AD172">
        <v>131</v>
      </c>
      <c r="AE172">
        <f t="shared" si="9"/>
        <v>274.5</v>
      </c>
      <c r="AF172">
        <f t="shared" si="10"/>
        <v>924</v>
      </c>
      <c r="AG172">
        <f t="shared" si="11"/>
        <v>3096.2</v>
      </c>
    </row>
    <row r="173" spans="1:33" hidden="1" x14ac:dyDescent="0.25">
      <c r="A173" t="s">
        <v>26</v>
      </c>
      <c r="B173">
        <v>2017</v>
      </c>
      <c r="C173" t="s">
        <v>38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150.5</v>
      </c>
      <c r="Q173">
        <v>147.19999999999999</v>
      </c>
      <c r="R173">
        <v>140.6</v>
      </c>
      <c r="T173">
        <v>138.1</v>
      </c>
      <c r="U173">
        <v>138.4</v>
      </c>
      <c r="V173">
        <v>134.19999999999999</v>
      </c>
      <c r="W173">
        <v>121</v>
      </c>
      <c r="X173">
        <v>133</v>
      </c>
      <c r="Y173">
        <v>140.1</v>
      </c>
      <c r="Z173">
        <v>127.4</v>
      </c>
      <c r="AA173">
        <v>138.30000000000001</v>
      </c>
      <c r="AB173">
        <f t="shared" si="8"/>
        <v>1650.4999999999998</v>
      </c>
      <c r="AD173">
        <v>138.1</v>
      </c>
      <c r="AE173">
        <f t="shared" si="9"/>
        <v>287.79999999999995</v>
      </c>
      <c r="AF173">
        <f t="shared" si="10"/>
        <v>944.6</v>
      </c>
      <c r="AG173">
        <f t="shared" si="11"/>
        <v>3020.9999999999995</v>
      </c>
    </row>
    <row r="174" spans="1:33" hidden="1" x14ac:dyDescent="0.25">
      <c r="A174" t="s">
        <v>28</v>
      </c>
      <c r="B174">
        <v>2017</v>
      </c>
      <c r="C174" t="s">
        <v>38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154.6</v>
      </c>
      <c r="Q174">
        <v>134</v>
      </c>
      <c r="R174">
        <v>124.9</v>
      </c>
      <c r="S174">
        <v>137.30000000000001</v>
      </c>
      <c r="T174">
        <v>122.6</v>
      </c>
      <c r="U174">
        <v>128.30000000000001</v>
      </c>
      <c r="V174">
        <v>126.6</v>
      </c>
      <c r="W174">
        <v>115</v>
      </c>
      <c r="X174">
        <v>124.8</v>
      </c>
      <c r="Y174">
        <v>136.30000000000001</v>
      </c>
      <c r="Z174">
        <v>124.6</v>
      </c>
      <c r="AA174">
        <v>133.5</v>
      </c>
      <c r="AB174">
        <f t="shared" si="8"/>
        <v>1625.9999999999998</v>
      </c>
      <c r="AC174">
        <v>137.30000000000001</v>
      </c>
      <c r="AD174">
        <v>122.6</v>
      </c>
      <c r="AE174">
        <f t="shared" si="9"/>
        <v>258.89999999999998</v>
      </c>
      <c r="AF174">
        <f t="shared" si="10"/>
        <v>910.2</v>
      </c>
      <c r="AG174">
        <f t="shared" si="11"/>
        <v>3055</v>
      </c>
    </row>
    <row r="175" spans="1:33" hidden="1" x14ac:dyDescent="0.25">
      <c r="A175" t="s">
        <v>29</v>
      </c>
      <c r="B175">
        <v>2017</v>
      </c>
      <c r="C175" t="s">
        <v>38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151.6</v>
      </c>
      <c r="Q175">
        <v>142</v>
      </c>
      <c r="R175">
        <v>134.1</v>
      </c>
      <c r="S175">
        <v>137.30000000000001</v>
      </c>
      <c r="T175">
        <v>132.19999999999999</v>
      </c>
      <c r="U175">
        <v>133.6</v>
      </c>
      <c r="V175">
        <v>131.30000000000001</v>
      </c>
      <c r="W175">
        <v>117.8</v>
      </c>
      <c r="X175">
        <v>128.4</v>
      </c>
      <c r="Y175">
        <v>137.9</v>
      </c>
      <c r="Z175">
        <v>126.2</v>
      </c>
      <c r="AA175">
        <v>136.1</v>
      </c>
      <c r="AB175">
        <f t="shared" si="8"/>
        <v>1639.6</v>
      </c>
      <c r="AC175">
        <v>137.30000000000001</v>
      </c>
      <c r="AD175">
        <v>132.19999999999999</v>
      </c>
      <c r="AE175">
        <f t="shared" si="9"/>
        <v>276.10000000000002</v>
      </c>
      <c r="AF175">
        <f t="shared" si="10"/>
        <v>926.80000000000007</v>
      </c>
      <c r="AG175">
        <f t="shared" si="11"/>
        <v>3112</v>
      </c>
    </row>
    <row r="176" spans="1:33" hidden="1" x14ac:dyDescent="0.25">
      <c r="A176" t="s">
        <v>26</v>
      </c>
      <c r="B176">
        <v>2017</v>
      </c>
      <c r="C176" t="s">
        <v>40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152.1</v>
      </c>
      <c r="Q176">
        <v>148.19999999999999</v>
      </c>
      <c r="R176">
        <v>141.5</v>
      </c>
      <c r="T176">
        <v>141.1</v>
      </c>
      <c r="U176">
        <v>139.4</v>
      </c>
      <c r="V176">
        <v>135.80000000000001</v>
      </c>
      <c r="W176">
        <v>121.6</v>
      </c>
      <c r="X176">
        <v>133.69999999999999</v>
      </c>
      <c r="Y176">
        <v>141.5</v>
      </c>
      <c r="Z176">
        <v>128.1</v>
      </c>
      <c r="AA176">
        <v>140</v>
      </c>
      <c r="AB176">
        <f t="shared" si="8"/>
        <v>1675.3000000000002</v>
      </c>
      <c r="AD176">
        <v>141.1</v>
      </c>
      <c r="AE176">
        <f t="shared" si="9"/>
        <v>289.7</v>
      </c>
      <c r="AF176">
        <f t="shared" si="10"/>
        <v>952.2</v>
      </c>
      <c r="AG176">
        <f t="shared" si="11"/>
        <v>3058.3</v>
      </c>
    </row>
    <row r="177" spans="1:33" hidden="1" x14ac:dyDescent="0.25">
      <c r="A177" t="s">
        <v>28</v>
      </c>
      <c r="B177">
        <v>2017</v>
      </c>
      <c r="C177" t="s">
        <v>40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156.19999999999999</v>
      </c>
      <c r="Q177">
        <v>135</v>
      </c>
      <c r="R177">
        <v>125.4</v>
      </c>
      <c r="S177">
        <v>138.6</v>
      </c>
      <c r="T177">
        <v>125.7</v>
      </c>
      <c r="U177">
        <v>128.80000000000001</v>
      </c>
      <c r="V177">
        <v>127.4</v>
      </c>
      <c r="W177">
        <v>115.3</v>
      </c>
      <c r="X177">
        <v>125.1</v>
      </c>
      <c r="Y177">
        <v>136.6</v>
      </c>
      <c r="Z177">
        <v>124.9</v>
      </c>
      <c r="AA177">
        <v>134.80000000000001</v>
      </c>
      <c r="AB177">
        <f t="shared" si="8"/>
        <v>1655.2</v>
      </c>
      <c r="AC177">
        <v>138.6</v>
      </c>
      <c r="AD177">
        <v>125.7</v>
      </c>
      <c r="AE177">
        <f t="shared" si="9"/>
        <v>260.39999999999998</v>
      </c>
      <c r="AF177">
        <f t="shared" si="10"/>
        <v>914.3</v>
      </c>
      <c r="AG177">
        <f t="shared" si="11"/>
        <v>3094.2</v>
      </c>
    </row>
    <row r="178" spans="1:33" hidden="1" x14ac:dyDescent="0.25">
      <c r="A178" t="s">
        <v>29</v>
      </c>
      <c r="B178">
        <v>2017</v>
      </c>
      <c r="C178" t="s">
        <v>40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153.19999999999999</v>
      </c>
      <c r="Q178">
        <v>143</v>
      </c>
      <c r="R178">
        <v>134.80000000000001</v>
      </c>
      <c r="S178">
        <v>138.6</v>
      </c>
      <c r="T178">
        <v>135.30000000000001</v>
      </c>
      <c r="U178">
        <v>134.4</v>
      </c>
      <c r="V178">
        <v>132.6</v>
      </c>
      <c r="W178">
        <v>118.3</v>
      </c>
      <c r="X178">
        <v>128.9</v>
      </c>
      <c r="Y178">
        <v>138.6</v>
      </c>
      <c r="Z178">
        <v>126.8</v>
      </c>
      <c r="AA178">
        <v>137.6</v>
      </c>
      <c r="AB178">
        <f t="shared" si="8"/>
        <v>1666.1000000000001</v>
      </c>
      <c r="AC178">
        <v>138.6</v>
      </c>
      <c r="AD178">
        <v>135.30000000000001</v>
      </c>
      <c r="AE178">
        <f t="shared" si="9"/>
        <v>277.8</v>
      </c>
      <c r="AF178">
        <f t="shared" si="10"/>
        <v>932.8</v>
      </c>
      <c r="AG178">
        <f t="shared" si="11"/>
        <v>3150.6000000000004</v>
      </c>
    </row>
    <row r="179" spans="1:33" hidden="1" x14ac:dyDescent="0.25">
      <c r="A179" t="s">
        <v>26</v>
      </c>
      <c r="B179">
        <v>2017</v>
      </c>
      <c r="C179" t="s">
        <v>41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153.19999999999999</v>
      </c>
      <c r="Q179">
        <v>148</v>
      </c>
      <c r="R179">
        <v>141.9</v>
      </c>
      <c r="T179">
        <v>142.6</v>
      </c>
      <c r="U179">
        <v>139.5</v>
      </c>
      <c r="V179">
        <v>136.1</v>
      </c>
      <c r="W179">
        <v>122</v>
      </c>
      <c r="X179">
        <v>133.4</v>
      </c>
      <c r="Y179">
        <v>141.1</v>
      </c>
      <c r="Z179">
        <v>127.8</v>
      </c>
      <c r="AA179">
        <v>139.80000000000001</v>
      </c>
      <c r="AB179">
        <f t="shared" si="8"/>
        <v>1672.1000000000001</v>
      </c>
      <c r="AD179">
        <v>142.6</v>
      </c>
      <c r="AE179">
        <f t="shared" si="9"/>
        <v>289.89999999999998</v>
      </c>
      <c r="AF179">
        <f t="shared" si="10"/>
        <v>953.09999999999991</v>
      </c>
      <c r="AG179">
        <f t="shared" si="11"/>
        <v>3057.7</v>
      </c>
    </row>
    <row r="180" spans="1:33" hidden="1" x14ac:dyDescent="0.25">
      <c r="A180" t="s">
        <v>28</v>
      </c>
      <c r="B180">
        <v>2017</v>
      </c>
      <c r="C180" t="s">
        <v>41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157</v>
      </c>
      <c r="Q180">
        <v>135.6</v>
      </c>
      <c r="R180">
        <v>125.6</v>
      </c>
      <c r="S180">
        <v>139.1</v>
      </c>
      <c r="T180">
        <v>126.8</v>
      </c>
      <c r="U180">
        <v>129.30000000000001</v>
      </c>
      <c r="V180">
        <v>128.19999999999999</v>
      </c>
      <c r="W180">
        <v>115.3</v>
      </c>
      <c r="X180">
        <v>125.6</v>
      </c>
      <c r="Y180">
        <v>136.69999999999999</v>
      </c>
      <c r="Z180">
        <v>124.6</v>
      </c>
      <c r="AA180">
        <v>134.1</v>
      </c>
      <c r="AB180">
        <f t="shared" si="8"/>
        <v>1628.7</v>
      </c>
      <c r="AC180">
        <v>139.1</v>
      </c>
      <c r="AD180">
        <v>126.8</v>
      </c>
      <c r="AE180">
        <f t="shared" si="9"/>
        <v>261.2</v>
      </c>
      <c r="AF180">
        <f t="shared" si="10"/>
        <v>916.69999999999993</v>
      </c>
      <c r="AG180">
        <f t="shared" si="11"/>
        <v>3072.4999999999995</v>
      </c>
    </row>
    <row r="181" spans="1:33" hidden="1" x14ac:dyDescent="0.25">
      <c r="A181" t="s">
        <v>29</v>
      </c>
      <c r="B181">
        <v>2017</v>
      </c>
      <c r="C181" t="s">
        <v>41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154.19999999999999</v>
      </c>
      <c r="Q181">
        <v>143.1</v>
      </c>
      <c r="R181">
        <v>135.1</v>
      </c>
      <c r="S181">
        <v>139.1</v>
      </c>
      <c r="T181">
        <v>136.6</v>
      </c>
      <c r="U181">
        <v>134.69999999999999</v>
      </c>
      <c r="V181">
        <v>133.1</v>
      </c>
      <c r="W181">
        <v>118.5</v>
      </c>
      <c r="X181">
        <v>129</v>
      </c>
      <c r="Y181">
        <v>138.5</v>
      </c>
      <c r="Z181">
        <v>126.5</v>
      </c>
      <c r="AA181">
        <v>137.19999999999999</v>
      </c>
      <c r="AB181">
        <f t="shared" si="8"/>
        <v>1654.4999999999998</v>
      </c>
      <c r="AC181">
        <v>139.1</v>
      </c>
      <c r="AD181">
        <v>136.6</v>
      </c>
      <c r="AE181">
        <f t="shared" si="9"/>
        <v>278.2</v>
      </c>
      <c r="AF181">
        <f t="shared" si="10"/>
        <v>934.5</v>
      </c>
      <c r="AG181">
        <f t="shared" si="11"/>
        <v>3142.8999999999996</v>
      </c>
    </row>
    <row r="182" spans="1:33" hidden="1" x14ac:dyDescent="0.25">
      <c r="A182" t="s">
        <v>26</v>
      </c>
      <c r="B182">
        <v>2018</v>
      </c>
      <c r="C182" t="s">
        <v>27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153.6</v>
      </c>
      <c r="Q182">
        <v>148.30000000000001</v>
      </c>
      <c r="R182">
        <v>142.30000000000001</v>
      </c>
      <c r="T182">
        <v>142.30000000000001</v>
      </c>
      <c r="U182">
        <v>139.80000000000001</v>
      </c>
      <c r="V182">
        <v>136</v>
      </c>
      <c r="W182">
        <v>122.7</v>
      </c>
      <c r="X182">
        <v>134.30000000000001</v>
      </c>
      <c r="Y182">
        <v>141.6</v>
      </c>
      <c r="Z182">
        <v>128.6</v>
      </c>
      <c r="AA182">
        <v>139.30000000000001</v>
      </c>
      <c r="AB182">
        <f t="shared" si="8"/>
        <v>1660.3</v>
      </c>
      <c r="AD182">
        <v>142.30000000000001</v>
      </c>
      <c r="AE182">
        <f t="shared" si="9"/>
        <v>290.60000000000002</v>
      </c>
      <c r="AF182">
        <f t="shared" si="10"/>
        <v>956.6</v>
      </c>
      <c r="AG182">
        <f t="shared" si="11"/>
        <v>3049.7999999999997</v>
      </c>
    </row>
    <row r="183" spans="1:33" hidden="1" x14ac:dyDescent="0.25">
      <c r="A183" t="s">
        <v>28</v>
      </c>
      <c r="B183">
        <v>2018</v>
      </c>
      <c r="C183" t="s">
        <v>27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157.69999999999999</v>
      </c>
      <c r="Q183">
        <v>136</v>
      </c>
      <c r="R183">
        <v>125.9</v>
      </c>
      <c r="S183">
        <v>140.4</v>
      </c>
      <c r="T183">
        <v>127.3</v>
      </c>
      <c r="U183">
        <v>129.5</v>
      </c>
      <c r="V183">
        <v>129</v>
      </c>
      <c r="W183">
        <v>116.3</v>
      </c>
      <c r="X183">
        <v>126.2</v>
      </c>
      <c r="Y183">
        <v>137.1</v>
      </c>
      <c r="Z183">
        <v>125.5</v>
      </c>
      <c r="AA183">
        <v>134.1</v>
      </c>
      <c r="AB183">
        <f t="shared" si="8"/>
        <v>1611.1000000000001</v>
      </c>
      <c r="AC183">
        <v>140.4</v>
      </c>
      <c r="AD183">
        <v>127.3</v>
      </c>
      <c r="AE183">
        <f t="shared" si="9"/>
        <v>261.89999999999998</v>
      </c>
      <c r="AF183">
        <f t="shared" si="10"/>
        <v>921.3</v>
      </c>
      <c r="AG183">
        <f t="shared" si="11"/>
        <v>3062</v>
      </c>
    </row>
    <row r="184" spans="1:33" hidden="1" x14ac:dyDescent="0.25">
      <c r="A184" t="s">
        <v>29</v>
      </c>
      <c r="B184">
        <v>2018</v>
      </c>
      <c r="C184" t="s">
        <v>27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154.69999999999999</v>
      </c>
      <c r="Q184">
        <v>143.5</v>
      </c>
      <c r="R184">
        <v>135.5</v>
      </c>
      <c r="S184">
        <v>140.4</v>
      </c>
      <c r="T184">
        <v>136.6</v>
      </c>
      <c r="U184">
        <v>134.9</v>
      </c>
      <c r="V184">
        <v>133.30000000000001</v>
      </c>
      <c r="W184">
        <v>119.3</v>
      </c>
      <c r="X184">
        <v>129.69999999999999</v>
      </c>
      <c r="Y184">
        <v>139</v>
      </c>
      <c r="Z184">
        <v>127.3</v>
      </c>
      <c r="AA184">
        <v>136.9</v>
      </c>
      <c r="AB184">
        <f t="shared" si="8"/>
        <v>1640.7</v>
      </c>
      <c r="AC184">
        <v>140.4</v>
      </c>
      <c r="AD184">
        <v>136.6</v>
      </c>
      <c r="AE184">
        <f t="shared" si="9"/>
        <v>279</v>
      </c>
      <c r="AF184">
        <f t="shared" si="10"/>
        <v>938.2</v>
      </c>
      <c r="AG184">
        <f t="shared" si="11"/>
        <v>3134.8999999999996</v>
      </c>
    </row>
    <row r="185" spans="1:33" hidden="1" x14ac:dyDescent="0.25">
      <c r="A185" t="s">
        <v>26</v>
      </c>
      <c r="B185">
        <v>2018</v>
      </c>
      <c r="C185" t="s">
        <v>30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153.30000000000001</v>
      </c>
      <c r="Q185">
        <v>148.69999999999999</v>
      </c>
      <c r="R185">
        <v>142.4</v>
      </c>
      <c r="T185">
        <v>142.4</v>
      </c>
      <c r="U185">
        <v>139.9</v>
      </c>
      <c r="V185">
        <v>136.19999999999999</v>
      </c>
      <c r="W185">
        <v>123.3</v>
      </c>
      <c r="X185">
        <v>134.30000000000001</v>
      </c>
      <c r="Y185">
        <v>141.5</v>
      </c>
      <c r="Z185">
        <v>128.80000000000001</v>
      </c>
      <c r="AA185">
        <v>138.5</v>
      </c>
      <c r="AB185">
        <f t="shared" si="8"/>
        <v>1642.8</v>
      </c>
      <c r="AD185">
        <v>142.4</v>
      </c>
      <c r="AE185">
        <f t="shared" si="9"/>
        <v>291.10000000000002</v>
      </c>
      <c r="AF185">
        <f t="shared" si="10"/>
        <v>957.3</v>
      </c>
      <c r="AG185">
        <f t="shared" si="11"/>
        <v>3033.6000000000004</v>
      </c>
    </row>
    <row r="186" spans="1:33" hidden="1" x14ac:dyDescent="0.25">
      <c r="A186" t="s">
        <v>28</v>
      </c>
      <c r="B186">
        <v>2018</v>
      </c>
      <c r="C186" t="s">
        <v>30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159.30000000000001</v>
      </c>
      <c r="Q186">
        <v>136.30000000000001</v>
      </c>
      <c r="R186">
        <v>126.1</v>
      </c>
      <c r="S186">
        <v>141.30000000000001</v>
      </c>
      <c r="T186">
        <v>127.3</v>
      </c>
      <c r="U186">
        <v>129.9</v>
      </c>
      <c r="V186">
        <v>129.80000000000001</v>
      </c>
      <c r="W186">
        <v>117.4</v>
      </c>
      <c r="X186">
        <v>126.5</v>
      </c>
      <c r="Y186">
        <v>137.19999999999999</v>
      </c>
      <c r="Z186">
        <v>126.2</v>
      </c>
      <c r="AA186">
        <v>134</v>
      </c>
      <c r="AB186">
        <f t="shared" si="8"/>
        <v>1592.3000000000002</v>
      </c>
      <c r="AC186">
        <v>141.30000000000001</v>
      </c>
      <c r="AD186">
        <v>127.3</v>
      </c>
      <c r="AE186">
        <f t="shared" si="9"/>
        <v>262.39999999999998</v>
      </c>
      <c r="AF186">
        <f t="shared" si="10"/>
        <v>926.3</v>
      </c>
      <c r="AG186">
        <f t="shared" si="11"/>
        <v>3049.6000000000004</v>
      </c>
    </row>
    <row r="187" spans="1:33" hidden="1" x14ac:dyDescent="0.25">
      <c r="A187" t="s">
        <v>29</v>
      </c>
      <c r="B187">
        <v>2018</v>
      </c>
      <c r="C187" t="s">
        <v>30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154.9</v>
      </c>
      <c r="Q187">
        <v>143.80000000000001</v>
      </c>
      <c r="R187">
        <v>135.6</v>
      </c>
      <c r="S187">
        <v>141.30000000000001</v>
      </c>
      <c r="T187">
        <v>136.69999999999999</v>
      </c>
      <c r="U187">
        <v>135.19999999999999</v>
      </c>
      <c r="V187">
        <v>133.80000000000001</v>
      </c>
      <c r="W187">
        <v>120.2</v>
      </c>
      <c r="X187">
        <v>129.9</v>
      </c>
      <c r="Y187">
        <v>139</v>
      </c>
      <c r="Z187">
        <v>127.7</v>
      </c>
      <c r="AA187">
        <v>136.4</v>
      </c>
      <c r="AB187">
        <f t="shared" si="8"/>
        <v>1622.7999999999997</v>
      </c>
      <c r="AC187">
        <v>141.30000000000001</v>
      </c>
      <c r="AD187">
        <v>136.69999999999999</v>
      </c>
      <c r="AE187">
        <f t="shared" si="9"/>
        <v>279.39999999999998</v>
      </c>
      <c r="AF187">
        <f t="shared" si="10"/>
        <v>940.7</v>
      </c>
      <c r="AG187">
        <f t="shared" si="11"/>
        <v>3120.8999999999996</v>
      </c>
    </row>
    <row r="188" spans="1:33" hidden="1" x14ac:dyDescent="0.25">
      <c r="A188" t="s">
        <v>26</v>
      </c>
      <c r="B188">
        <v>2018</v>
      </c>
      <c r="C188" t="s">
        <v>31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155.1</v>
      </c>
      <c r="Q188">
        <v>149.19999999999999</v>
      </c>
      <c r="R188">
        <v>143</v>
      </c>
      <c r="T188">
        <v>142.6</v>
      </c>
      <c r="U188">
        <v>139.9</v>
      </c>
      <c r="V188">
        <v>136.69999999999999</v>
      </c>
      <c r="W188">
        <v>124.6</v>
      </c>
      <c r="X188">
        <v>135.1</v>
      </c>
      <c r="Y188">
        <v>142.69999999999999</v>
      </c>
      <c r="Z188">
        <v>129.30000000000001</v>
      </c>
      <c r="AA188">
        <v>138.69999999999999</v>
      </c>
      <c r="AB188">
        <f t="shared" si="8"/>
        <v>1643.3999999999999</v>
      </c>
      <c r="AD188">
        <v>142.6</v>
      </c>
      <c r="AE188">
        <f t="shared" si="9"/>
        <v>292.2</v>
      </c>
      <c r="AF188">
        <f t="shared" si="10"/>
        <v>963.4</v>
      </c>
      <c r="AG188">
        <f t="shared" si="11"/>
        <v>3041.6</v>
      </c>
    </row>
    <row r="189" spans="1:33" hidden="1" x14ac:dyDescent="0.25">
      <c r="A189" t="s">
        <v>28</v>
      </c>
      <c r="B189">
        <v>2018</v>
      </c>
      <c r="C189" t="s">
        <v>31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159.69999999999999</v>
      </c>
      <c r="Q189">
        <v>136.69999999999999</v>
      </c>
      <c r="R189">
        <v>126.7</v>
      </c>
      <c r="S189">
        <v>142</v>
      </c>
      <c r="T189">
        <v>126.4</v>
      </c>
      <c r="U189">
        <v>130.80000000000001</v>
      </c>
      <c r="V189">
        <v>130.5</v>
      </c>
      <c r="W189">
        <v>117.8</v>
      </c>
      <c r="X189">
        <v>126.8</v>
      </c>
      <c r="Y189">
        <v>137.80000000000001</v>
      </c>
      <c r="Z189">
        <v>126.7</v>
      </c>
      <c r="AA189">
        <v>134</v>
      </c>
      <c r="AB189">
        <f t="shared" si="8"/>
        <v>1580.7</v>
      </c>
      <c r="AC189">
        <v>142</v>
      </c>
      <c r="AD189">
        <v>126.4</v>
      </c>
      <c r="AE189">
        <f t="shared" si="9"/>
        <v>263.39999999999998</v>
      </c>
      <c r="AF189">
        <f t="shared" si="10"/>
        <v>930.10000000000014</v>
      </c>
      <c r="AG189">
        <f t="shared" si="11"/>
        <v>3042.6000000000004</v>
      </c>
    </row>
    <row r="190" spans="1:33" hidden="1" x14ac:dyDescent="0.25">
      <c r="A190" t="s">
        <v>29</v>
      </c>
      <c r="B190">
        <v>2018</v>
      </c>
      <c r="C190" t="s">
        <v>31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156.30000000000001</v>
      </c>
      <c r="Q190">
        <v>144.30000000000001</v>
      </c>
      <c r="R190">
        <v>136.19999999999999</v>
      </c>
      <c r="S190">
        <v>142</v>
      </c>
      <c r="T190">
        <v>136.5</v>
      </c>
      <c r="U190">
        <v>135.6</v>
      </c>
      <c r="V190">
        <v>134.30000000000001</v>
      </c>
      <c r="W190">
        <v>121</v>
      </c>
      <c r="X190">
        <v>130.4</v>
      </c>
      <c r="Y190">
        <v>139.80000000000001</v>
      </c>
      <c r="Z190">
        <v>128.19999999999999</v>
      </c>
      <c r="AA190">
        <v>136.5</v>
      </c>
      <c r="AB190">
        <f t="shared" si="8"/>
        <v>1618.8</v>
      </c>
      <c r="AC190">
        <v>142</v>
      </c>
      <c r="AD190">
        <v>136.5</v>
      </c>
      <c r="AE190">
        <f t="shared" si="9"/>
        <v>280.5</v>
      </c>
      <c r="AF190">
        <f t="shared" si="10"/>
        <v>945.59999999999991</v>
      </c>
      <c r="AG190">
        <f t="shared" si="11"/>
        <v>3123.4</v>
      </c>
    </row>
    <row r="191" spans="1:33" hidden="1" x14ac:dyDescent="0.25">
      <c r="A191" t="s">
        <v>26</v>
      </c>
      <c r="B191">
        <v>2018</v>
      </c>
      <c r="C191" t="s">
        <v>32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156.1</v>
      </c>
      <c r="Q191">
        <v>150.1</v>
      </c>
      <c r="R191">
        <v>143.30000000000001</v>
      </c>
      <c r="T191">
        <v>143.80000000000001</v>
      </c>
      <c r="U191">
        <v>140.9</v>
      </c>
      <c r="V191">
        <v>137.6</v>
      </c>
      <c r="W191">
        <v>125.3</v>
      </c>
      <c r="X191">
        <v>136</v>
      </c>
      <c r="Y191">
        <v>143.69999999999999</v>
      </c>
      <c r="Z191">
        <v>130.4</v>
      </c>
      <c r="AA191">
        <v>139.1</v>
      </c>
      <c r="AB191">
        <f t="shared" si="8"/>
        <v>1641.4</v>
      </c>
      <c r="AD191">
        <v>143.80000000000001</v>
      </c>
      <c r="AE191">
        <f t="shared" si="9"/>
        <v>293.39999999999998</v>
      </c>
      <c r="AF191">
        <f t="shared" si="10"/>
        <v>970</v>
      </c>
      <c r="AG191">
        <f t="shared" si="11"/>
        <v>3048.6</v>
      </c>
    </row>
    <row r="192" spans="1:33" hidden="1" x14ac:dyDescent="0.25">
      <c r="A192" t="s">
        <v>28</v>
      </c>
      <c r="B192">
        <v>2018</v>
      </c>
      <c r="C192" t="s">
        <v>32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159.19999999999999</v>
      </c>
      <c r="Q192">
        <v>137.80000000000001</v>
      </c>
      <c r="R192">
        <v>127.4</v>
      </c>
      <c r="S192">
        <v>142.9</v>
      </c>
      <c r="T192">
        <v>124.6</v>
      </c>
      <c r="U192">
        <v>131.80000000000001</v>
      </c>
      <c r="V192">
        <v>131.30000000000001</v>
      </c>
      <c r="W192">
        <v>118.9</v>
      </c>
      <c r="X192">
        <v>127.6</v>
      </c>
      <c r="Y192">
        <v>139.69999999999999</v>
      </c>
      <c r="Z192">
        <v>127.6</v>
      </c>
      <c r="AA192">
        <v>134.80000000000001</v>
      </c>
      <c r="AB192">
        <f t="shared" si="8"/>
        <v>1584.3000000000002</v>
      </c>
      <c r="AC192">
        <v>142.9</v>
      </c>
      <c r="AD192">
        <v>124.6</v>
      </c>
      <c r="AE192">
        <f t="shared" si="9"/>
        <v>265.20000000000005</v>
      </c>
      <c r="AF192">
        <f t="shared" si="10"/>
        <v>936.09999999999991</v>
      </c>
      <c r="AG192">
        <f t="shared" si="11"/>
        <v>3053.1</v>
      </c>
    </row>
    <row r="193" spans="1:33" hidden="1" x14ac:dyDescent="0.25">
      <c r="A193" t="s">
        <v>29</v>
      </c>
      <c r="B193">
        <v>2018</v>
      </c>
      <c r="C193" t="s">
        <v>32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156.9</v>
      </c>
      <c r="Q193">
        <v>145.30000000000001</v>
      </c>
      <c r="R193">
        <v>136.69999999999999</v>
      </c>
      <c r="S193">
        <v>142.9</v>
      </c>
      <c r="T193">
        <v>136.5</v>
      </c>
      <c r="U193">
        <v>136.6</v>
      </c>
      <c r="V193">
        <v>135.19999999999999</v>
      </c>
      <c r="W193">
        <v>121.9</v>
      </c>
      <c r="X193">
        <v>131.30000000000001</v>
      </c>
      <c r="Y193">
        <v>141.4</v>
      </c>
      <c r="Z193">
        <v>129.19999999999999</v>
      </c>
      <c r="AA193">
        <v>137.1</v>
      </c>
      <c r="AB193">
        <f t="shared" si="8"/>
        <v>1619.6000000000001</v>
      </c>
      <c r="AC193">
        <v>142.9</v>
      </c>
      <c r="AD193">
        <v>136.5</v>
      </c>
      <c r="AE193">
        <f t="shared" si="9"/>
        <v>282</v>
      </c>
      <c r="AF193">
        <f t="shared" si="10"/>
        <v>952.49999999999989</v>
      </c>
      <c r="AG193">
        <f t="shared" si="11"/>
        <v>3133.5</v>
      </c>
    </row>
    <row r="194" spans="1:33" hidden="1" x14ac:dyDescent="0.25">
      <c r="A194" t="s">
        <v>26</v>
      </c>
      <c r="B194">
        <v>2018</v>
      </c>
      <c r="C194" t="s">
        <v>33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157</v>
      </c>
      <c r="Q194">
        <v>150.80000000000001</v>
      </c>
      <c r="R194">
        <v>144.1</v>
      </c>
      <c r="T194">
        <v>144.30000000000001</v>
      </c>
      <c r="U194">
        <v>141.80000000000001</v>
      </c>
      <c r="V194">
        <v>138.4</v>
      </c>
      <c r="W194">
        <v>126.4</v>
      </c>
      <c r="X194">
        <v>136.80000000000001</v>
      </c>
      <c r="Y194">
        <v>144.4</v>
      </c>
      <c r="Z194">
        <v>131.19999999999999</v>
      </c>
      <c r="AA194">
        <v>139.80000000000001</v>
      </c>
      <c r="AB194">
        <f t="shared" si="8"/>
        <v>1643.3000000000002</v>
      </c>
      <c r="AD194">
        <v>144.30000000000001</v>
      </c>
      <c r="AE194">
        <f t="shared" si="9"/>
        <v>294.89999999999998</v>
      </c>
      <c r="AF194">
        <f t="shared" si="10"/>
        <v>976</v>
      </c>
      <c r="AG194">
        <f t="shared" si="11"/>
        <v>3058.5</v>
      </c>
    </row>
    <row r="195" spans="1:33" hidden="1" x14ac:dyDescent="0.25">
      <c r="A195" t="s">
        <v>28</v>
      </c>
      <c r="B195">
        <v>2018</v>
      </c>
      <c r="C195" t="s">
        <v>33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160.30000000000001</v>
      </c>
      <c r="Q195">
        <v>138.6</v>
      </c>
      <c r="R195">
        <v>127.9</v>
      </c>
      <c r="S195">
        <v>143.19999999999999</v>
      </c>
      <c r="T195">
        <v>124.7</v>
      </c>
      <c r="U195">
        <v>132.5</v>
      </c>
      <c r="V195">
        <v>132</v>
      </c>
      <c r="W195">
        <v>119.8</v>
      </c>
      <c r="X195">
        <v>128</v>
      </c>
      <c r="Y195">
        <v>140.4</v>
      </c>
      <c r="Z195">
        <v>128.1</v>
      </c>
      <c r="AA195">
        <v>135.4</v>
      </c>
      <c r="AB195">
        <f t="shared" ref="AB195:AB258" si="12">SUM(D195:O195)</f>
        <v>1586.4999999999998</v>
      </c>
      <c r="AC195">
        <v>143.19999999999999</v>
      </c>
      <c r="AD195">
        <v>124.7</v>
      </c>
      <c r="AE195">
        <f t="shared" ref="AE195:AE258" si="13">SUM(Q195:R195)</f>
        <v>266.5</v>
      </c>
      <c r="AF195">
        <f t="shared" ref="AF195:AF258" si="14">SUM(U195:Z195,P195)</f>
        <v>941.09999999999991</v>
      </c>
      <c r="AG195">
        <f t="shared" ref="AG195:AG258" si="15">SUM(AB195:AF195)</f>
        <v>3061.9999999999995</v>
      </c>
    </row>
    <row r="196" spans="1:33" hidden="1" x14ac:dyDescent="0.25">
      <c r="A196" t="s">
        <v>29</v>
      </c>
      <c r="B196">
        <v>2018</v>
      </c>
      <c r="C196" t="s">
        <v>33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157.9</v>
      </c>
      <c r="Q196">
        <v>146</v>
      </c>
      <c r="R196">
        <v>137.4</v>
      </c>
      <c r="S196">
        <v>143.19999999999999</v>
      </c>
      <c r="T196">
        <v>136.9</v>
      </c>
      <c r="U196">
        <v>137.4</v>
      </c>
      <c r="V196">
        <v>136</v>
      </c>
      <c r="W196">
        <v>122.9</v>
      </c>
      <c r="X196">
        <v>131.80000000000001</v>
      </c>
      <c r="Y196">
        <v>142.1</v>
      </c>
      <c r="Z196">
        <v>129.9</v>
      </c>
      <c r="AA196">
        <v>137.80000000000001</v>
      </c>
      <c r="AB196">
        <f t="shared" si="12"/>
        <v>1621.7</v>
      </c>
      <c r="AC196">
        <v>143.19999999999999</v>
      </c>
      <c r="AD196">
        <v>136.9</v>
      </c>
      <c r="AE196">
        <f t="shared" si="13"/>
        <v>283.39999999999998</v>
      </c>
      <c r="AF196">
        <f t="shared" si="14"/>
        <v>957.99999999999989</v>
      </c>
      <c r="AG196">
        <f t="shared" si="15"/>
        <v>3143.2000000000003</v>
      </c>
    </row>
    <row r="197" spans="1:33" hidden="1" x14ac:dyDescent="0.25">
      <c r="A197" t="s">
        <v>26</v>
      </c>
      <c r="B197">
        <v>2018</v>
      </c>
      <c r="C197" t="s">
        <v>34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157.30000000000001</v>
      </c>
      <c r="Q197">
        <v>151.30000000000001</v>
      </c>
      <c r="R197">
        <v>144.69999999999999</v>
      </c>
      <c r="T197">
        <v>145.1</v>
      </c>
      <c r="U197">
        <v>142.19999999999999</v>
      </c>
      <c r="V197">
        <v>138.4</v>
      </c>
      <c r="W197">
        <v>127.4</v>
      </c>
      <c r="X197">
        <v>137.80000000000001</v>
      </c>
      <c r="Y197">
        <v>145.1</v>
      </c>
      <c r="Z197">
        <v>131.4</v>
      </c>
      <c r="AA197">
        <v>140.5</v>
      </c>
      <c r="AB197">
        <f t="shared" si="12"/>
        <v>1650.2999999999997</v>
      </c>
      <c r="AD197">
        <v>145.1</v>
      </c>
      <c r="AE197">
        <f t="shared" si="13"/>
        <v>296</v>
      </c>
      <c r="AF197">
        <f t="shared" si="14"/>
        <v>979.59999999999991</v>
      </c>
      <c r="AG197">
        <f t="shared" si="15"/>
        <v>3070.9999999999995</v>
      </c>
    </row>
    <row r="198" spans="1:33" hidden="1" x14ac:dyDescent="0.25">
      <c r="A198" t="s">
        <v>28</v>
      </c>
      <c r="B198">
        <v>2018</v>
      </c>
      <c r="C198" t="s">
        <v>34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161</v>
      </c>
      <c r="Q198">
        <v>138.9</v>
      </c>
      <c r="R198">
        <v>128.69999999999999</v>
      </c>
      <c r="S198">
        <v>142.5</v>
      </c>
      <c r="T198">
        <v>126.5</v>
      </c>
      <c r="U198">
        <v>133.1</v>
      </c>
      <c r="V198">
        <v>132.6</v>
      </c>
      <c r="W198">
        <v>120.4</v>
      </c>
      <c r="X198">
        <v>128.5</v>
      </c>
      <c r="Y198">
        <v>141.19999999999999</v>
      </c>
      <c r="Z198">
        <v>128.19999999999999</v>
      </c>
      <c r="AA198">
        <v>136.19999999999999</v>
      </c>
      <c r="AB198">
        <f t="shared" si="12"/>
        <v>1608.9</v>
      </c>
      <c r="AC198">
        <v>142.5</v>
      </c>
      <c r="AD198">
        <v>126.5</v>
      </c>
      <c r="AE198">
        <f t="shared" si="13"/>
        <v>267.60000000000002</v>
      </c>
      <c r="AF198">
        <f t="shared" si="14"/>
        <v>945</v>
      </c>
      <c r="AG198">
        <f t="shared" si="15"/>
        <v>3090.5</v>
      </c>
    </row>
    <row r="199" spans="1:33" hidden="1" x14ac:dyDescent="0.25">
      <c r="A199" t="s">
        <v>29</v>
      </c>
      <c r="B199">
        <v>2018</v>
      </c>
      <c r="C199" t="s">
        <v>34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158.30000000000001</v>
      </c>
      <c r="Q199">
        <v>146.4</v>
      </c>
      <c r="R199">
        <v>138.1</v>
      </c>
      <c r="S199">
        <v>142.5</v>
      </c>
      <c r="T199">
        <v>138.1</v>
      </c>
      <c r="U199">
        <v>137.9</v>
      </c>
      <c r="V199">
        <v>136.19999999999999</v>
      </c>
      <c r="W199">
        <v>123.7</v>
      </c>
      <c r="X199">
        <v>132.6</v>
      </c>
      <c r="Y199">
        <v>142.80000000000001</v>
      </c>
      <c r="Z199">
        <v>130.1</v>
      </c>
      <c r="AA199">
        <v>138.5</v>
      </c>
      <c r="AB199">
        <f t="shared" si="12"/>
        <v>1634.7</v>
      </c>
      <c r="AC199">
        <v>142.5</v>
      </c>
      <c r="AD199">
        <v>138.1</v>
      </c>
      <c r="AE199">
        <f t="shared" si="13"/>
        <v>284.5</v>
      </c>
      <c r="AF199">
        <f t="shared" si="14"/>
        <v>961.60000000000014</v>
      </c>
      <c r="AG199">
        <f t="shared" si="15"/>
        <v>3161.4000000000005</v>
      </c>
    </row>
    <row r="200" spans="1:33" hidden="1" x14ac:dyDescent="0.25">
      <c r="A200" t="s">
        <v>26</v>
      </c>
      <c r="B200">
        <v>2018</v>
      </c>
      <c r="C200" t="s">
        <v>35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156.1</v>
      </c>
      <c r="Q200">
        <v>151.5</v>
      </c>
      <c r="R200">
        <v>145.1</v>
      </c>
      <c r="T200">
        <v>146.80000000000001</v>
      </c>
      <c r="U200">
        <v>143.1</v>
      </c>
      <c r="V200">
        <v>139</v>
      </c>
      <c r="W200">
        <v>127.5</v>
      </c>
      <c r="X200">
        <v>138.4</v>
      </c>
      <c r="Y200">
        <v>145.80000000000001</v>
      </c>
      <c r="Z200">
        <v>131.4</v>
      </c>
      <c r="AA200">
        <v>141.80000000000001</v>
      </c>
      <c r="AB200">
        <f t="shared" si="12"/>
        <v>1668.5000000000002</v>
      </c>
      <c r="AD200">
        <v>146.80000000000001</v>
      </c>
      <c r="AE200">
        <f t="shared" si="13"/>
        <v>296.60000000000002</v>
      </c>
      <c r="AF200">
        <f t="shared" si="14"/>
        <v>981.3</v>
      </c>
      <c r="AG200">
        <f t="shared" si="15"/>
        <v>3093.2</v>
      </c>
    </row>
    <row r="201" spans="1:33" hidden="1" x14ac:dyDescent="0.25">
      <c r="A201" t="s">
        <v>28</v>
      </c>
      <c r="B201">
        <v>2018</v>
      </c>
      <c r="C201" t="s">
        <v>35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161.4</v>
      </c>
      <c r="Q201">
        <v>139.6</v>
      </c>
      <c r="R201">
        <v>128.9</v>
      </c>
      <c r="S201">
        <v>143.6</v>
      </c>
      <c r="T201">
        <v>128.1</v>
      </c>
      <c r="U201">
        <v>133.6</v>
      </c>
      <c r="V201">
        <v>133.6</v>
      </c>
      <c r="W201">
        <v>120.1</v>
      </c>
      <c r="X201">
        <v>129</v>
      </c>
      <c r="Y201">
        <v>144</v>
      </c>
      <c r="Z201">
        <v>128.19999999999999</v>
      </c>
      <c r="AA201">
        <v>137.5</v>
      </c>
      <c r="AB201">
        <f t="shared" si="12"/>
        <v>1630.8</v>
      </c>
      <c r="AC201">
        <v>143.6</v>
      </c>
      <c r="AD201">
        <v>128.1</v>
      </c>
      <c r="AE201">
        <f t="shared" si="13"/>
        <v>268.5</v>
      </c>
      <c r="AF201">
        <f t="shared" si="14"/>
        <v>949.9</v>
      </c>
      <c r="AG201">
        <f t="shared" si="15"/>
        <v>3120.9</v>
      </c>
    </row>
    <row r="202" spans="1:33" hidden="1" x14ac:dyDescent="0.25">
      <c r="A202" t="s">
        <v>29</v>
      </c>
      <c r="B202">
        <v>2018</v>
      </c>
      <c r="C202" t="s">
        <v>35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157.5</v>
      </c>
      <c r="Q202">
        <v>146.80000000000001</v>
      </c>
      <c r="R202">
        <v>138.4</v>
      </c>
      <c r="S202">
        <v>143.6</v>
      </c>
      <c r="T202">
        <v>139.69999999999999</v>
      </c>
      <c r="U202">
        <v>138.6</v>
      </c>
      <c r="V202">
        <v>137</v>
      </c>
      <c r="W202">
        <v>123.6</v>
      </c>
      <c r="X202">
        <v>133.1</v>
      </c>
      <c r="Y202">
        <v>144.69999999999999</v>
      </c>
      <c r="Z202">
        <v>130.1</v>
      </c>
      <c r="AA202">
        <v>139.80000000000001</v>
      </c>
      <c r="AB202">
        <f t="shared" si="12"/>
        <v>1653.8999999999999</v>
      </c>
      <c r="AC202">
        <v>143.6</v>
      </c>
      <c r="AD202">
        <v>139.69999999999999</v>
      </c>
      <c r="AE202">
        <f t="shared" si="13"/>
        <v>285.20000000000005</v>
      </c>
      <c r="AF202">
        <f t="shared" si="14"/>
        <v>964.6</v>
      </c>
      <c r="AG202">
        <f t="shared" si="15"/>
        <v>3186.9999999999995</v>
      </c>
    </row>
    <row r="203" spans="1:33" hidden="1" x14ac:dyDescent="0.25">
      <c r="A203" t="s">
        <v>26</v>
      </c>
      <c r="B203">
        <v>2018</v>
      </c>
      <c r="C203" t="s">
        <v>36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156.4</v>
      </c>
      <c r="Q203">
        <v>152.1</v>
      </c>
      <c r="R203">
        <v>145.80000000000001</v>
      </c>
      <c r="T203">
        <v>147.69999999999999</v>
      </c>
      <c r="U203">
        <v>143.80000000000001</v>
      </c>
      <c r="V203">
        <v>139.4</v>
      </c>
      <c r="W203">
        <v>128.30000000000001</v>
      </c>
      <c r="X203">
        <v>138.6</v>
      </c>
      <c r="Y203">
        <v>146.9</v>
      </c>
      <c r="Z203">
        <v>131.30000000000001</v>
      </c>
      <c r="AA203">
        <v>142.5</v>
      </c>
      <c r="AB203">
        <f t="shared" si="12"/>
        <v>1676.1</v>
      </c>
      <c r="AD203">
        <v>147.69999999999999</v>
      </c>
      <c r="AE203">
        <f t="shared" si="13"/>
        <v>297.89999999999998</v>
      </c>
      <c r="AF203">
        <f t="shared" si="14"/>
        <v>984.69999999999993</v>
      </c>
      <c r="AG203">
        <f t="shared" si="15"/>
        <v>3106.3999999999996</v>
      </c>
    </row>
    <row r="204" spans="1:33" hidden="1" x14ac:dyDescent="0.25">
      <c r="A204" t="s">
        <v>28</v>
      </c>
      <c r="B204">
        <v>2018</v>
      </c>
      <c r="C204" t="s">
        <v>36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162.1</v>
      </c>
      <c r="Q204">
        <v>140</v>
      </c>
      <c r="R204">
        <v>129</v>
      </c>
      <c r="S204">
        <v>144.6</v>
      </c>
      <c r="T204">
        <v>129.80000000000001</v>
      </c>
      <c r="U204">
        <v>134.4</v>
      </c>
      <c r="V204">
        <v>134.9</v>
      </c>
      <c r="W204">
        <v>120.7</v>
      </c>
      <c r="X204">
        <v>129.80000000000001</v>
      </c>
      <c r="Y204">
        <v>145.30000000000001</v>
      </c>
      <c r="Z204">
        <v>128.30000000000001</v>
      </c>
      <c r="AA204">
        <v>138</v>
      </c>
      <c r="AB204">
        <f t="shared" si="12"/>
        <v>1627.5</v>
      </c>
      <c r="AC204">
        <v>144.6</v>
      </c>
      <c r="AD204">
        <v>129.80000000000001</v>
      </c>
      <c r="AE204">
        <f t="shared" si="13"/>
        <v>269</v>
      </c>
      <c r="AF204">
        <f t="shared" si="14"/>
        <v>955.49999999999989</v>
      </c>
      <c r="AG204">
        <f t="shared" si="15"/>
        <v>3126.3999999999996</v>
      </c>
    </row>
    <row r="205" spans="1:33" hidden="1" x14ac:dyDescent="0.25">
      <c r="A205" t="s">
        <v>29</v>
      </c>
      <c r="B205">
        <v>2018</v>
      </c>
      <c r="C205" t="s">
        <v>36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157.9</v>
      </c>
      <c r="Q205">
        <v>147.30000000000001</v>
      </c>
      <c r="R205">
        <v>138.80000000000001</v>
      </c>
      <c r="S205">
        <v>144.6</v>
      </c>
      <c r="T205">
        <v>140.9</v>
      </c>
      <c r="U205">
        <v>139.4</v>
      </c>
      <c r="V205">
        <v>137.69999999999999</v>
      </c>
      <c r="W205">
        <v>124.3</v>
      </c>
      <c r="X205">
        <v>133.6</v>
      </c>
      <c r="Y205">
        <v>146</v>
      </c>
      <c r="Z205">
        <v>130.1</v>
      </c>
      <c r="AA205">
        <v>140.4</v>
      </c>
      <c r="AB205">
        <f t="shared" si="12"/>
        <v>1657.0000000000002</v>
      </c>
      <c r="AC205">
        <v>144.6</v>
      </c>
      <c r="AD205">
        <v>140.9</v>
      </c>
      <c r="AE205">
        <f t="shared" si="13"/>
        <v>286.10000000000002</v>
      </c>
      <c r="AF205">
        <f t="shared" si="14"/>
        <v>969</v>
      </c>
      <c r="AG205">
        <f t="shared" si="15"/>
        <v>3197.6000000000004</v>
      </c>
    </row>
    <row r="206" spans="1:33" hidden="1" x14ac:dyDescent="0.25">
      <c r="A206" t="s">
        <v>26</v>
      </c>
      <c r="B206">
        <v>2018</v>
      </c>
      <c r="C206" t="s">
        <v>37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157.69999999999999</v>
      </c>
      <c r="Q206">
        <v>152.1</v>
      </c>
      <c r="R206">
        <v>146.1</v>
      </c>
      <c r="T206">
        <v>149</v>
      </c>
      <c r="U206">
        <v>144</v>
      </c>
      <c r="V206">
        <v>140</v>
      </c>
      <c r="W206">
        <v>129.9</v>
      </c>
      <c r="X206">
        <v>140</v>
      </c>
      <c r="Y206">
        <v>147.6</v>
      </c>
      <c r="Z206">
        <v>132</v>
      </c>
      <c r="AA206">
        <v>142.1</v>
      </c>
      <c r="AB206">
        <f t="shared" si="12"/>
        <v>1658.5000000000002</v>
      </c>
      <c r="AD206">
        <v>149</v>
      </c>
      <c r="AE206">
        <f t="shared" si="13"/>
        <v>298.2</v>
      </c>
      <c r="AF206">
        <f t="shared" si="14"/>
        <v>991.2</v>
      </c>
      <c r="AG206">
        <f t="shared" si="15"/>
        <v>3096.9000000000005</v>
      </c>
    </row>
    <row r="207" spans="1:33" hidden="1" x14ac:dyDescent="0.25">
      <c r="A207" t="s">
        <v>28</v>
      </c>
      <c r="B207">
        <v>2018</v>
      </c>
      <c r="C207" t="s">
        <v>37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163.30000000000001</v>
      </c>
      <c r="Q207">
        <v>140.80000000000001</v>
      </c>
      <c r="R207">
        <v>129.30000000000001</v>
      </c>
      <c r="S207">
        <v>145.30000000000001</v>
      </c>
      <c r="T207">
        <v>131.19999999999999</v>
      </c>
      <c r="U207">
        <v>134.9</v>
      </c>
      <c r="V207">
        <v>135.69999999999999</v>
      </c>
      <c r="W207">
        <v>122.5</v>
      </c>
      <c r="X207">
        <v>130.19999999999999</v>
      </c>
      <c r="Y207">
        <v>145.19999999999999</v>
      </c>
      <c r="Z207">
        <v>129.30000000000001</v>
      </c>
      <c r="AA207">
        <v>138.1</v>
      </c>
      <c r="AB207">
        <f t="shared" si="12"/>
        <v>1609.5</v>
      </c>
      <c r="AC207">
        <v>145.30000000000001</v>
      </c>
      <c r="AD207">
        <v>131.19999999999999</v>
      </c>
      <c r="AE207">
        <f t="shared" si="13"/>
        <v>270.10000000000002</v>
      </c>
      <c r="AF207">
        <f t="shared" si="14"/>
        <v>961.09999999999991</v>
      </c>
      <c r="AG207">
        <f t="shared" si="15"/>
        <v>3117.2</v>
      </c>
    </row>
    <row r="208" spans="1:33" hidden="1" x14ac:dyDescent="0.25">
      <c r="A208" t="s">
        <v>29</v>
      </c>
      <c r="B208">
        <v>2018</v>
      </c>
      <c r="C208" t="s">
        <v>37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159.19999999999999</v>
      </c>
      <c r="Q208">
        <v>147.69999999999999</v>
      </c>
      <c r="R208">
        <v>139.1</v>
      </c>
      <c r="S208">
        <v>145.30000000000001</v>
      </c>
      <c r="T208">
        <v>142.30000000000001</v>
      </c>
      <c r="U208">
        <v>139.69999999999999</v>
      </c>
      <c r="V208">
        <v>138.4</v>
      </c>
      <c r="W208">
        <v>126</v>
      </c>
      <c r="X208">
        <v>134.5</v>
      </c>
      <c r="Y208">
        <v>146.19999999999999</v>
      </c>
      <c r="Z208">
        <v>130.9</v>
      </c>
      <c r="AA208">
        <v>140.19999999999999</v>
      </c>
      <c r="AB208">
        <f t="shared" si="12"/>
        <v>1639.1</v>
      </c>
      <c r="AC208">
        <v>145.30000000000001</v>
      </c>
      <c r="AD208">
        <v>142.30000000000001</v>
      </c>
      <c r="AE208">
        <f t="shared" si="13"/>
        <v>286.79999999999995</v>
      </c>
      <c r="AF208">
        <f t="shared" si="14"/>
        <v>974.89999999999986</v>
      </c>
      <c r="AG208">
        <f t="shared" si="15"/>
        <v>3188.3999999999996</v>
      </c>
    </row>
    <row r="209" spans="1:33" hidden="1" x14ac:dyDescent="0.25">
      <c r="A209" t="s">
        <v>26</v>
      </c>
      <c r="B209">
        <v>2018</v>
      </c>
      <c r="C209" t="s">
        <v>38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159.6</v>
      </c>
      <c r="Q209">
        <v>150.69999999999999</v>
      </c>
      <c r="R209">
        <v>144.5</v>
      </c>
      <c r="T209">
        <v>149.69999999999999</v>
      </c>
      <c r="U209">
        <v>147.5</v>
      </c>
      <c r="V209">
        <v>144.80000000000001</v>
      </c>
      <c r="W209">
        <v>130.80000000000001</v>
      </c>
      <c r="X209">
        <v>140.1</v>
      </c>
      <c r="Y209">
        <v>148</v>
      </c>
      <c r="Z209">
        <v>134.4</v>
      </c>
      <c r="AA209">
        <v>142.19999999999999</v>
      </c>
      <c r="AB209">
        <f t="shared" si="12"/>
        <v>1642</v>
      </c>
      <c r="AD209">
        <v>149.69999999999999</v>
      </c>
      <c r="AE209">
        <f t="shared" si="13"/>
        <v>295.2</v>
      </c>
      <c r="AF209">
        <f t="shared" si="14"/>
        <v>1005.2</v>
      </c>
      <c r="AG209">
        <f t="shared" si="15"/>
        <v>3092.1000000000004</v>
      </c>
    </row>
    <row r="210" spans="1:33" hidden="1" x14ac:dyDescent="0.25">
      <c r="A210" t="s">
        <v>28</v>
      </c>
      <c r="B210">
        <v>2018</v>
      </c>
      <c r="C210" t="s">
        <v>38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164</v>
      </c>
      <c r="Q210">
        <v>141.5</v>
      </c>
      <c r="R210">
        <v>129.80000000000001</v>
      </c>
      <c r="S210">
        <v>146.30000000000001</v>
      </c>
      <c r="T210">
        <v>133.4</v>
      </c>
      <c r="U210">
        <v>135.1</v>
      </c>
      <c r="V210">
        <v>136.19999999999999</v>
      </c>
      <c r="W210">
        <v>123.3</v>
      </c>
      <c r="X210">
        <v>130.69999999999999</v>
      </c>
      <c r="Y210">
        <v>145.5</v>
      </c>
      <c r="Z210">
        <v>130.4</v>
      </c>
      <c r="AA210">
        <v>138.9</v>
      </c>
      <c r="AB210">
        <f t="shared" si="12"/>
        <v>1614.6999999999998</v>
      </c>
      <c r="AC210">
        <v>146.30000000000001</v>
      </c>
      <c r="AD210">
        <v>133.4</v>
      </c>
      <c r="AE210">
        <f t="shared" si="13"/>
        <v>271.3</v>
      </c>
      <c r="AF210">
        <f t="shared" si="14"/>
        <v>965.19999999999993</v>
      </c>
      <c r="AG210">
        <f t="shared" si="15"/>
        <v>3130.8999999999996</v>
      </c>
    </row>
    <row r="211" spans="1:33" hidden="1" x14ac:dyDescent="0.25">
      <c r="A211" t="s">
        <v>29</v>
      </c>
      <c r="B211">
        <v>2018</v>
      </c>
      <c r="C211" t="s">
        <v>38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162.6</v>
      </c>
      <c r="Q211">
        <v>148</v>
      </c>
      <c r="R211">
        <v>139.19999999999999</v>
      </c>
      <c r="S211">
        <v>146.9</v>
      </c>
      <c r="T211">
        <v>145.30000000000001</v>
      </c>
      <c r="U211">
        <v>142.19999999999999</v>
      </c>
      <c r="V211">
        <v>142.1</v>
      </c>
      <c r="W211">
        <v>125.5</v>
      </c>
      <c r="X211">
        <v>136.5</v>
      </c>
      <c r="Y211">
        <v>147.80000000000001</v>
      </c>
      <c r="Z211">
        <v>132</v>
      </c>
      <c r="AA211">
        <v>140.80000000000001</v>
      </c>
      <c r="AB211">
        <f t="shared" si="12"/>
        <v>1636.5</v>
      </c>
      <c r="AC211">
        <v>146.9</v>
      </c>
      <c r="AD211">
        <v>145.30000000000001</v>
      </c>
      <c r="AE211">
        <f t="shared" si="13"/>
        <v>287.2</v>
      </c>
      <c r="AF211">
        <f t="shared" si="14"/>
        <v>988.69999999999993</v>
      </c>
      <c r="AG211">
        <f t="shared" si="15"/>
        <v>3204.6</v>
      </c>
    </row>
    <row r="212" spans="1:33" hidden="1" x14ac:dyDescent="0.25">
      <c r="A212" t="s">
        <v>26</v>
      </c>
      <c r="B212">
        <v>2018</v>
      </c>
      <c r="C212" t="s">
        <v>40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161.9</v>
      </c>
      <c r="Q212">
        <v>151.69999999999999</v>
      </c>
      <c r="R212">
        <v>145.5</v>
      </c>
      <c r="T212">
        <v>150.30000000000001</v>
      </c>
      <c r="U212">
        <v>148</v>
      </c>
      <c r="V212">
        <v>145.4</v>
      </c>
      <c r="W212">
        <v>130.30000000000001</v>
      </c>
      <c r="X212">
        <v>143.1</v>
      </c>
      <c r="Y212">
        <v>150.19999999999999</v>
      </c>
      <c r="Z212">
        <v>133.1</v>
      </c>
      <c r="AA212">
        <v>142.4</v>
      </c>
      <c r="AB212">
        <f t="shared" si="12"/>
        <v>1647.4999999999995</v>
      </c>
      <c r="AD212">
        <v>150.30000000000001</v>
      </c>
      <c r="AE212">
        <f t="shared" si="13"/>
        <v>297.2</v>
      </c>
      <c r="AF212">
        <f t="shared" si="14"/>
        <v>1012</v>
      </c>
      <c r="AG212">
        <f t="shared" si="15"/>
        <v>3106.9999999999995</v>
      </c>
    </row>
    <row r="213" spans="1:33" hidden="1" x14ac:dyDescent="0.25">
      <c r="A213" t="s">
        <v>28</v>
      </c>
      <c r="B213">
        <v>2018</v>
      </c>
      <c r="C213" t="s">
        <v>40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164.4</v>
      </c>
      <c r="Q213">
        <v>142.4</v>
      </c>
      <c r="R213">
        <v>130.19999999999999</v>
      </c>
      <c r="S213">
        <v>146.9</v>
      </c>
      <c r="T213">
        <v>136.69999999999999</v>
      </c>
      <c r="U213">
        <v>135.80000000000001</v>
      </c>
      <c r="V213">
        <v>136.80000000000001</v>
      </c>
      <c r="W213">
        <v>121.2</v>
      </c>
      <c r="X213">
        <v>131.30000000000001</v>
      </c>
      <c r="Y213">
        <v>146.1</v>
      </c>
      <c r="Z213">
        <v>130.5</v>
      </c>
      <c r="AA213">
        <v>139</v>
      </c>
      <c r="AB213">
        <f t="shared" si="12"/>
        <v>1618.3999999999999</v>
      </c>
      <c r="AC213">
        <v>146.9</v>
      </c>
      <c r="AD213">
        <v>136.69999999999999</v>
      </c>
      <c r="AE213">
        <f t="shared" si="13"/>
        <v>272.60000000000002</v>
      </c>
      <c r="AF213">
        <f t="shared" si="14"/>
        <v>966.1</v>
      </c>
      <c r="AG213">
        <f t="shared" si="15"/>
        <v>3140.7</v>
      </c>
    </row>
    <row r="214" spans="1:33" hidden="1" x14ac:dyDescent="0.25">
      <c r="A214" t="s">
        <v>29</v>
      </c>
      <c r="B214">
        <v>2018</v>
      </c>
      <c r="C214" t="s">
        <v>40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162.6</v>
      </c>
      <c r="Q214">
        <v>148</v>
      </c>
      <c r="R214">
        <v>139.1</v>
      </c>
      <c r="S214">
        <v>146.9</v>
      </c>
      <c r="T214">
        <v>145.1</v>
      </c>
      <c r="U214">
        <v>142.19999999999999</v>
      </c>
      <c r="V214">
        <v>142.1</v>
      </c>
      <c r="W214">
        <v>125.5</v>
      </c>
      <c r="X214">
        <v>136.5</v>
      </c>
      <c r="Y214">
        <v>147.80000000000001</v>
      </c>
      <c r="Z214">
        <v>132</v>
      </c>
      <c r="AA214">
        <v>140.80000000000001</v>
      </c>
      <c r="AB214">
        <f t="shared" si="12"/>
        <v>1636.0000000000002</v>
      </c>
      <c r="AC214">
        <v>146.9</v>
      </c>
      <c r="AD214">
        <v>145.1</v>
      </c>
      <c r="AE214">
        <f t="shared" si="13"/>
        <v>287.10000000000002</v>
      </c>
      <c r="AF214">
        <f t="shared" si="14"/>
        <v>988.69999999999993</v>
      </c>
      <c r="AG214">
        <f t="shared" si="15"/>
        <v>3203.8</v>
      </c>
    </row>
    <row r="215" spans="1:33" hidden="1" x14ac:dyDescent="0.25">
      <c r="A215" t="s">
        <v>26</v>
      </c>
      <c r="B215">
        <v>2018</v>
      </c>
      <c r="C215" t="s">
        <v>41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162.4</v>
      </c>
      <c r="Q215">
        <v>151.6</v>
      </c>
      <c r="R215">
        <v>145.9</v>
      </c>
      <c r="T215">
        <v>149</v>
      </c>
      <c r="U215">
        <v>149.5</v>
      </c>
      <c r="V215">
        <v>149.6</v>
      </c>
      <c r="W215">
        <v>128.9</v>
      </c>
      <c r="X215">
        <v>143.30000000000001</v>
      </c>
      <c r="Y215">
        <v>155.1</v>
      </c>
      <c r="Z215">
        <v>133.19999999999999</v>
      </c>
      <c r="AA215">
        <v>141.9</v>
      </c>
      <c r="AB215">
        <f t="shared" si="12"/>
        <v>1634.6000000000001</v>
      </c>
      <c r="AD215">
        <v>149</v>
      </c>
      <c r="AE215">
        <f t="shared" si="13"/>
        <v>297.5</v>
      </c>
      <c r="AF215">
        <f t="shared" si="14"/>
        <v>1021.9999999999999</v>
      </c>
      <c r="AG215">
        <f t="shared" si="15"/>
        <v>3103.1000000000004</v>
      </c>
    </row>
    <row r="216" spans="1:33" hidden="1" x14ac:dyDescent="0.25">
      <c r="A216" t="s">
        <v>28</v>
      </c>
      <c r="B216">
        <v>2018</v>
      </c>
      <c r="C216" t="s">
        <v>41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164.6</v>
      </c>
      <c r="Q216">
        <v>142.69999999999999</v>
      </c>
      <c r="R216">
        <v>130.30000000000001</v>
      </c>
      <c r="S216">
        <v>146.5</v>
      </c>
      <c r="T216">
        <v>132.4</v>
      </c>
      <c r="U216">
        <v>136.19999999999999</v>
      </c>
      <c r="V216">
        <v>137.30000000000001</v>
      </c>
      <c r="W216">
        <v>118.8</v>
      </c>
      <c r="X216">
        <v>131.69999999999999</v>
      </c>
      <c r="Y216">
        <v>146.5</v>
      </c>
      <c r="Z216">
        <v>130.80000000000001</v>
      </c>
      <c r="AA216">
        <v>138</v>
      </c>
      <c r="AB216">
        <f t="shared" si="12"/>
        <v>1609</v>
      </c>
      <c r="AC216">
        <v>146.5</v>
      </c>
      <c r="AD216">
        <v>132.4</v>
      </c>
      <c r="AE216">
        <f t="shared" si="13"/>
        <v>273</v>
      </c>
      <c r="AF216">
        <f t="shared" si="14"/>
        <v>965.9</v>
      </c>
      <c r="AG216">
        <f t="shared" si="15"/>
        <v>3126.8</v>
      </c>
    </row>
    <row r="217" spans="1:33" hidden="1" x14ac:dyDescent="0.25">
      <c r="A217" t="s">
        <v>29</v>
      </c>
      <c r="B217">
        <v>2018</v>
      </c>
      <c r="C217" t="s">
        <v>41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163</v>
      </c>
      <c r="Q217">
        <v>148.1</v>
      </c>
      <c r="R217">
        <v>139.4</v>
      </c>
      <c r="S217">
        <v>146.5</v>
      </c>
      <c r="T217">
        <v>142.69999999999999</v>
      </c>
      <c r="U217">
        <v>143.19999999999999</v>
      </c>
      <c r="V217">
        <v>144.9</v>
      </c>
      <c r="W217">
        <v>123.6</v>
      </c>
      <c r="X217">
        <v>136.80000000000001</v>
      </c>
      <c r="Y217">
        <v>150.1</v>
      </c>
      <c r="Z217">
        <v>132.19999999999999</v>
      </c>
      <c r="AA217">
        <v>140.1</v>
      </c>
      <c r="AB217">
        <f t="shared" si="12"/>
        <v>1624.5999999999997</v>
      </c>
      <c r="AC217">
        <v>146.5</v>
      </c>
      <c r="AD217">
        <v>142.69999999999999</v>
      </c>
      <c r="AE217">
        <f t="shared" si="13"/>
        <v>287.5</v>
      </c>
      <c r="AF217">
        <f t="shared" si="14"/>
        <v>993.8</v>
      </c>
      <c r="AG217">
        <f t="shared" si="15"/>
        <v>3195.0999999999995</v>
      </c>
    </row>
    <row r="218" spans="1:33" hidden="1" x14ac:dyDescent="0.25">
      <c r="A218" t="s">
        <v>26</v>
      </c>
      <c r="B218">
        <v>2019</v>
      </c>
      <c r="C218" t="s">
        <v>27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162.69999999999999</v>
      </c>
      <c r="Q218">
        <v>150.6</v>
      </c>
      <c r="R218">
        <v>145.1</v>
      </c>
      <c r="T218">
        <v>146.19999999999999</v>
      </c>
      <c r="U218">
        <v>150.1</v>
      </c>
      <c r="V218">
        <v>149.6</v>
      </c>
      <c r="W218">
        <v>128.6</v>
      </c>
      <c r="X218">
        <v>142.9</v>
      </c>
      <c r="Y218">
        <v>155.19999999999999</v>
      </c>
      <c r="Z218">
        <v>133.5</v>
      </c>
      <c r="AA218">
        <v>141</v>
      </c>
      <c r="AB218">
        <f t="shared" si="12"/>
        <v>1622.2</v>
      </c>
      <c r="AD218">
        <v>146.19999999999999</v>
      </c>
      <c r="AE218">
        <f t="shared" si="13"/>
        <v>295.7</v>
      </c>
      <c r="AF218">
        <f t="shared" si="14"/>
        <v>1022.5999999999999</v>
      </c>
      <c r="AG218">
        <f t="shared" si="15"/>
        <v>3086.7</v>
      </c>
    </row>
    <row r="219" spans="1:33" hidden="1" x14ac:dyDescent="0.25">
      <c r="A219" t="s">
        <v>28</v>
      </c>
      <c r="B219">
        <v>2019</v>
      </c>
      <c r="C219" t="s">
        <v>27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164.7</v>
      </c>
      <c r="Q219">
        <v>143</v>
      </c>
      <c r="R219">
        <v>130.4</v>
      </c>
      <c r="S219">
        <v>147.69999999999999</v>
      </c>
      <c r="T219">
        <v>128.6</v>
      </c>
      <c r="U219">
        <v>136.30000000000001</v>
      </c>
      <c r="V219">
        <v>137.80000000000001</v>
      </c>
      <c r="W219">
        <v>118.6</v>
      </c>
      <c r="X219">
        <v>131.9</v>
      </c>
      <c r="Y219">
        <v>146.6</v>
      </c>
      <c r="Z219">
        <v>131.69999999999999</v>
      </c>
      <c r="AA219">
        <v>138</v>
      </c>
      <c r="AB219">
        <f t="shared" si="12"/>
        <v>1607.0000000000002</v>
      </c>
      <c r="AC219">
        <v>147.69999999999999</v>
      </c>
      <c r="AD219">
        <v>128.6</v>
      </c>
      <c r="AE219">
        <f t="shared" si="13"/>
        <v>273.39999999999998</v>
      </c>
      <c r="AF219">
        <f t="shared" si="14"/>
        <v>967.60000000000014</v>
      </c>
      <c r="AG219">
        <f t="shared" si="15"/>
        <v>3124.3</v>
      </c>
    </row>
    <row r="220" spans="1:33" hidden="1" x14ac:dyDescent="0.25">
      <c r="A220" t="s">
        <v>29</v>
      </c>
      <c r="B220">
        <v>2019</v>
      </c>
      <c r="C220" t="s">
        <v>27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163.19999999999999</v>
      </c>
      <c r="Q220">
        <v>147.6</v>
      </c>
      <c r="R220">
        <v>139</v>
      </c>
      <c r="S220">
        <v>147.69999999999999</v>
      </c>
      <c r="T220">
        <v>139.5</v>
      </c>
      <c r="U220">
        <v>143.6</v>
      </c>
      <c r="V220">
        <v>145.1</v>
      </c>
      <c r="W220">
        <v>123.3</v>
      </c>
      <c r="X220">
        <v>136.69999999999999</v>
      </c>
      <c r="Y220">
        <v>150.19999999999999</v>
      </c>
      <c r="Z220">
        <v>132.80000000000001</v>
      </c>
      <c r="AA220">
        <v>139.6</v>
      </c>
      <c r="AB220">
        <f t="shared" si="12"/>
        <v>1615.9999999999998</v>
      </c>
      <c r="AC220">
        <v>147.69999999999999</v>
      </c>
      <c r="AD220">
        <v>139.5</v>
      </c>
      <c r="AE220">
        <f t="shared" si="13"/>
        <v>286.60000000000002</v>
      </c>
      <c r="AF220">
        <f t="shared" si="14"/>
        <v>994.90000000000009</v>
      </c>
      <c r="AG220">
        <f t="shared" si="15"/>
        <v>3184.7</v>
      </c>
    </row>
    <row r="221" spans="1:33" hidden="1" x14ac:dyDescent="0.25">
      <c r="A221" t="s">
        <v>26</v>
      </c>
      <c r="B221">
        <v>2019</v>
      </c>
      <c r="C221" t="s">
        <v>30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162.80000000000001</v>
      </c>
      <c r="Q221">
        <v>150.5</v>
      </c>
      <c r="R221">
        <v>146.1</v>
      </c>
      <c r="T221">
        <v>145.30000000000001</v>
      </c>
      <c r="U221">
        <v>150.1</v>
      </c>
      <c r="V221">
        <v>149.9</v>
      </c>
      <c r="W221">
        <v>129.19999999999999</v>
      </c>
      <c r="X221">
        <v>143.4</v>
      </c>
      <c r="Y221">
        <v>155.5</v>
      </c>
      <c r="Z221">
        <v>134.9</v>
      </c>
      <c r="AA221">
        <v>141</v>
      </c>
      <c r="AB221">
        <f t="shared" si="12"/>
        <v>1622.6000000000001</v>
      </c>
      <c r="AD221">
        <v>145.30000000000001</v>
      </c>
      <c r="AE221">
        <f t="shared" si="13"/>
        <v>296.60000000000002</v>
      </c>
      <c r="AF221">
        <f t="shared" si="14"/>
        <v>1025.8</v>
      </c>
      <c r="AG221">
        <f t="shared" si="15"/>
        <v>3090.3</v>
      </c>
    </row>
    <row r="222" spans="1:33" hidden="1" x14ac:dyDescent="0.25">
      <c r="A222" t="s">
        <v>28</v>
      </c>
      <c r="B222">
        <v>2019</v>
      </c>
      <c r="C222" t="s">
        <v>30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164.9</v>
      </c>
      <c r="Q222">
        <v>143.30000000000001</v>
      </c>
      <c r="R222">
        <v>130.80000000000001</v>
      </c>
      <c r="S222">
        <v>148.5</v>
      </c>
      <c r="T222">
        <v>127.1</v>
      </c>
      <c r="U222">
        <v>136.6</v>
      </c>
      <c r="V222">
        <v>138.5</v>
      </c>
      <c r="W222">
        <v>119.2</v>
      </c>
      <c r="X222">
        <v>132.19999999999999</v>
      </c>
      <c r="Y222">
        <v>146.6</v>
      </c>
      <c r="Z222">
        <v>133</v>
      </c>
      <c r="AA222">
        <v>138.6</v>
      </c>
      <c r="AB222">
        <f t="shared" si="12"/>
        <v>1616.4</v>
      </c>
      <c r="AC222">
        <v>148.5</v>
      </c>
      <c r="AD222">
        <v>127.1</v>
      </c>
      <c r="AE222">
        <f t="shared" si="13"/>
        <v>274.10000000000002</v>
      </c>
      <c r="AF222">
        <f t="shared" si="14"/>
        <v>971</v>
      </c>
      <c r="AG222">
        <f t="shared" si="15"/>
        <v>3137.1</v>
      </c>
    </row>
    <row r="223" spans="1:33" hidden="1" x14ac:dyDescent="0.25">
      <c r="A223" t="s">
        <v>29</v>
      </c>
      <c r="B223">
        <v>2019</v>
      </c>
      <c r="C223" t="s">
        <v>30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163.4</v>
      </c>
      <c r="Q223">
        <v>147.69999999999999</v>
      </c>
      <c r="R223">
        <v>139.69999999999999</v>
      </c>
      <c r="S223">
        <v>148.5</v>
      </c>
      <c r="T223">
        <v>138.4</v>
      </c>
      <c r="U223">
        <v>143.69999999999999</v>
      </c>
      <c r="V223">
        <v>145.6</v>
      </c>
      <c r="W223">
        <v>123.9</v>
      </c>
      <c r="X223">
        <v>137.1</v>
      </c>
      <c r="Y223">
        <v>150.30000000000001</v>
      </c>
      <c r="Z223">
        <v>134.1</v>
      </c>
      <c r="AA223">
        <v>139.9</v>
      </c>
      <c r="AB223">
        <f t="shared" si="12"/>
        <v>1619.6</v>
      </c>
      <c r="AC223">
        <v>148.5</v>
      </c>
      <c r="AD223">
        <v>138.4</v>
      </c>
      <c r="AE223">
        <f t="shared" si="13"/>
        <v>287.39999999999998</v>
      </c>
      <c r="AF223">
        <f t="shared" si="14"/>
        <v>998.09999999999991</v>
      </c>
      <c r="AG223">
        <f t="shared" si="15"/>
        <v>3192</v>
      </c>
    </row>
    <row r="224" spans="1:33" hidden="1" x14ac:dyDescent="0.25">
      <c r="A224" t="s">
        <v>26</v>
      </c>
      <c r="B224">
        <v>2019</v>
      </c>
      <c r="C224" t="s">
        <v>31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162.9</v>
      </c>
      <c r="Q224">
        <v>150.80000000000001</v>
      </c>
      <c r="R224">
        <v>146.1</v>
      </c>
      <c r="T224">
        <v>146.4</v>
      </c>
      <c r="U224">
        <v>150</v>
      </c>
      <c r="V224">
        <v>150.4</v>
      </c>
      <c r="W224">
        <v>129.9</v>
      </c>
      <c r="X224">
        <v>143.80000000000001</v>
      </c>
      <c r="Y224">
        <v>155.5</v>
      </c>
      <c r="Z224">
        <v>134</v>
      </c>
      <c r="AA224">
        <v>141.19999999999999</v>
      </c>
      <c r="AB224">
        <f t="shared" si="12"/>
        <v>1623.9000000000003</v>
      </c>
      <c r="AD224">
        <v>146.4</v>
      </c>
      <c r="AE224">
        <f t="shared" si="13"/>
        <v>296.89999999999998</v>
      </c>
      <c r="AF224">
        <f t="shared" si="14"/>
        <v>1026.5</v>
      </c>
      <c r="AG224">
        <f t="shared" si="15"/>
        <v>3093.7000000000003</v>
      </c>
    </row>
    <row r="225" spans="1:33" hidden="1" x14ac:dyDescent="0.25">
      <c r="A225" t="s">
        <v>28</v>
      </c>
      <c r="B225">
        <v>2019</v>
      </c>
      <c r="C225" t="s">
        <v>31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165.3</v>
      </c>
      <c r="Q225">
        <v>143.5</v>
      </c>
      <c r="R225">
        <v>131.19999999999999</v>
      </c>
      <c r="S225">
        <v>149</v>
      </c>
      <c r="T225">
        <v>128.80000000000001</v>
      </c>
      <c r="U225">
        <v>136.80000000000001</v>
      </c>
      <c r="V225">
        <v>139.19999999999999</v>
      </c>
      <c r="W225">
        <v>119.9</v>
      </c>
      <c r="X225">
        <v>133</v>
      </c>
      <c r="Y225">
        <v>146.69999999999999</v>
      </c>
      <c r="Z225">
        <v>132.5</v>
      </c>
      <c r="AA225">
        <v>139.5</v>
      </c>
      <c r="AB225">
        <f t="shared" si="12"/>
        <v>1628.8000000000002</v>
      </c>
      <c r="AC225">
        <v>149</v>
      </c>
      <c r="AD225">
        <v>128.80000000000001</v>
      </c>
      <c r="AE225">
        <f t="shared" si="13"/>
        <v>274.7</v>
      </c>
      <c r="AF225">
        <f t="shared" si="14"/>
        <v>973.39999999999986</v>
      </c>
      <c r="AG225">
        <f t="shared" si="15"/>
        <v>3154.7</v>
      </c>
    </row>
    <row r="226" spans="1:33" hidden="1" x14ac:dyDescent="0.25">
      <c r="A226" t="s">
        <v>29</v>
      </c>
      <c r="B226">
        <v>2019</v>
      </c>
      <c r="C226" t="s">
        <v>31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163.5</v>
      </c>
      <c r="Q226">
        <v>147.9</v>
      </c>
      <c r="R226">
        <v>139.9</v>
      </c>
      <c r="S226">
        <v>149</v>
      </c>
      <c r="T226">
        <v>139.69999999999999</v>
      </c>
      <c r="U226">
        <v>143.80000000000001</v>
      </c>
      <c r="V226">
        <v>146.19999999999999</v>
      </c>
      <c r="W226">
        <v>124.6</v>
      </c>
      <c r="X226">
        <v>137.69999999999999</v>
      </c>
      <c r="Y226">
        <v>150.30000000000001</v>
      </c>
      <c r="Z226">
        <v>133.4</v>
      </c>
      <c r="AA226">
        <v>140.4</v>
      </c>
      <c r="AB226">
        <f t="shared" si="12"/>
        <v>1624.8000000000002</v>
      </c>
      <c r="AC226">
        <v>149</v>
      </c>
      <c r="AD226">
        <v>139.69999999999999</v>
      </c>
      <c r="AE226">
        <f t="shared" si="13"/>
        <v>287.8</v>
      </c>
      <c r="AF226">
        <f t="shared" si="14"/>
        <v>999.49999999999989</v>
      </c>
      <c r="AG226">
        <f t="shared" si="15"/>
        <v>3200.8</v>
      </c>
    </row>
    <row r="227" spans="1:33" hidden="1" x14ac:dyDescent="0.25">
      <c r="A227" t="s">
        <v>26</v>
      </c>
      <c r="B227">
        <v>2019</v>
      </c>
      <c r="C227" t="s">
        <v>33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163.30000000000001</v>
      </c>
      <c r="Q227">
        <v>151.30000000000001</v>
      </c>
      <c r="R227">
        <v>146.6</v>
      </c>
      <c r="T227">
        <v>146.9</v>
      </c>
      <c r="U227">
        <v>149.5</v>
      </c>
      <c r="V227">
        <v>151.30000000000001</v>
      </c>
      <c r="W227">
        <v>130.19999999999999</v>
      </c>
      <c r="X227">
        <v>145.9</v>
      </c>
      <c r="Y227">
        <v>156.69999999999999</v>
      </c>
      <c r="Z227">
        <v>133.9</v>
      </c>
      <c r="AA227">
        <v>142.4</v>
      </c>
      <c r="AB227">
        <f t="shared" si="12"/>
        <v>1642.9</v>
      </c>
      <c r="AD227">
        <v>146.9</v>
      </c>
      <c r="AE227">
        <f t="shared" si="13"/>
        <v>297.89999999999998</v>
      </c>
      <c r="AF227">
        <f t="shared" si="14"/>
        <v>1030.8</v>
      </c>
      <c r="AG227">
        <f t="shared" si="15"/>
        <v>3118.5</v>
      </c>
    </row>
    <row r="228" spans="1:33" hidden="1" x14ac:dyDescent="0.25">
      <c r="A228" t="s">
        <v>28</v>
      </c>
      <c r="B228">
        <v>2019</v>
      </c>
      <c r="C228" t="s">
        <v>33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166.2</v>
      </c>
      <c r="Q228">
        <v>144</v>
      </c>
      <c r="R228">
        <v>131.69999999999999</v>
      </c>
      <c r="S228">
        <v>150.1</v>
      </c>
      <c r="T228">
        <v>129.4</v>
      </c>
      <c r="U228">
        <v>137.19999999999999</v>
      </c>
      <c r="V228">
        <v>139.80000000000001</v>
      </c>
      <c r="W228">
        <v>120.1</v>
      </c>
      <c r="X228">
        <v>134</v>
      </c>
      <c r="Y228">
        <v>148</v>
      </c>
      <c r="Z228">
        <v>132.6</v>
      </c>
      <c r="AA228">
        <v>141.5</v>
      </c>
      <c r="AB228">
        <f t="shared" si="12"/>
        <v>1667.7000000000003</v>
      </c>
      <c r="AC228">
        <v>150.1</v>
      </c>
      <c r="AD228">
        <v>129.4</v>
      </c>
      <c r="AE228">
        <f t="shared" si="13"/>
        <v>275.7</v>
      </c>
      <c r="AF228">
        <f t="shared" si="14"/>
        <v>977.90000000000009</v>
      </c>
      <c r="AG228">
        <f t="shared" si="15"/>
        <v>3200.8</v>
      </c>
    </row>
    <row r="229" spans="1:33" hidden="1" x14ac:dyDescent="0.25">
      <c r="A229" t="s">
        <v>29</v>
      </c>
      <c r="B229">
        <v>2019</v>
      </c>
      <c r="C229" t="s">
        <v>33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164.1</v>
      </c>
      <c r="Q229">
        <v>148.4</v>
      </c>
      <c r="R229">
        <v>140.4</v>
      </c>
      <c r="S229">
        <v>150.1</v>
      </c>
      <c r="T229">
        <v>140.30000000000001</v>
      </c>
      <c r="U229">
        <v>143.69999999999999</v>
      </c>
      <c r="V229">
        <v>146.9</v>
      </c>
      <c r="W229">
        <v>124.9</v>
      </c>
      <c r="X229">
        <v>139.19999999999999</v>
      </c>
      <c r="Y229">
        <v>151.6</v>
      </c>
      <c r="Z229">
        <v>133.4</v>
      </c>
      <c r="AA229">
        <v>142</v>
      </c>
      <c r="AB229">
        <f t="shared" si="12"/>
        <v>1651.0000000000002</v>
      </c>
      <c r="AC229">
        <v>150.1</v>
      </c>
      <c r="AD229">
        <v>140.30000000000001</v>
      </c>
      <c r="AE229">
        <f t="shared" si="13"/>
        <v>288.8</v>
      </c>
      <c r="AF229">
        <f t="shared" si="14"/>
        <v>1003.8000000000001</v>
      </c>
      <c r="AG229">
        <f t="shared" si="15"/>
        <v>3234.0000000000005</v>
      </c>
    </row>
    <row r="230" spans="1:33" hidden="1" x14ac:dyDescent="0.25">
      <c r="A230" t="s">
        <v>26</v>
      </c>
      <c r="B230">
        <v>2019</v>
      </c>
      <c r="C230" t="s">
        <v>34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164.2</v>
      </c>
      <c r="Q230">
        <v>151.4</v>
      </c>
      <c r="R230">
        <v>146.5</v>
      </c>
      <c r="T230">
        <v>147.80000000000001</v>
      </c>
      <c r="U230">
        <v>149.6</v>
      </c>
      <c r="V230">
        <v>151.69999999999999</v>
      </c>
      <c r="W230">
        <v>130.19999999999999</v>
      </c>
      <c r="X230">
        <v>146.4</v>
      </c>
      <c r="Y230">
        <v>157.69999999999999</v>
      </c>
      <c r="Z230">
        <v>134.80000000000001</v>
      </c>
      <c r="AA230">
        <v>143.6</v>
      </c>
      <c r="AB230">
        <f t="shared" si="12"/>
        <v>1663.1999999999998</v>
      </c>
      <c r="AD230">
        <v>147.80000000000001</v>
      </c>
      <c r="AE230">
        <f t="shared" si="13"/>
        <v>297.89999999999998</v>
      </c>
      <c r="AF230">
        <f t="shared" si="14"/>
        <v>1034.5999999999999</v>
      </c>
      <c r="AG230">
        <f t="shared" si="15"/>
        <v>3143.4999999999995</v>
      </c>
    </row>
    <row r="231" spans="1:33" hidden="1" x14ac:dyDescent="0.25">
      <c r="A231" t="s">
        <v>28</v>
      </c>
      <c r="B231">
        <v>2019</v>
      </c>
      <c r="C231" t="s">
        <v>34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166.7</v>
      </c>
      <c r="Q231">
        <v>144.30000000000001</v>
      </c>
      <c r="R231">
        <v>131.69999999999999</v>
      </c>
      <c r="S231">
        <v>149.4</v>
      </c>
      <c r="T231">
        <v>130.5</v>
      </c>
      <c r="U231">
        <v>137.4</v>
      </c>
      <c r="V231">
        <v>140.30000000000001</v>
      </c>
      <c r="W231">
        <v>119.6</v>
      </c>
      <c r="X231">
        <v>134.30000000000001</v>
      </c>
      <c r="Y231">
        <v>148.9</v>
      </c>
      <c r="Z231">
        <v>133.69999999999999</v>
      </c>
      <c r="AA231">
        <v>142.1</v>
      </c>
      <c r="AB231">
        <f t="shared" si="12"/>
        <v>1687.6999999999998</v>
      </c>
      <c r="AC231">
        <v>149.4</v>
      </c>
      <c r="AD231">
        <v>130.5</v>
      </c>
      <c r="AE231">
        <f t="shared" si="13"/>
        <v>276</v>
      </c>
      <c r="AF231">
        <f t="shared" si="14"/>
        <v>980.90000000000009</v>
      </c>
      <c r="AG231">
        <f t="shared" si="15"/>
        <v>3224.5</v>
      </c>
    </row>
    <row r="232" spans="1:33" hidden="1" x14ac:dyDescent="0.25">
      <c r="A232" t="s">
        <v>29</v>
      </c>
      <c r="B232">
        <v>2019</v>
      </c>
      <c r="C232" t="s">
        <v>34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164.9</v>
      </c>
      <c r="Q232">
        <v>148.6</v>
      </c>
      <c r="R232">
        <v>140.4</v>
      </c>
      <c r="S232">
        <v>149.4</v>
      </c>
      <c r="T232">
        <v>141.19999999999999</v>
      </c>
      <c r="U232">
        <v>143.80000000000001</v>
      </c>
      <c r="V232">
        <v>147.4</v>
      </c>
      <c r="W232">
        <v>124.6</v>
      </c>
      <c r="X232">
        <v>139.6</v>
      </c>
      <c r="Y232">
        <v>152.5</v>
      </c>
      <c r="Z232">
        <v>134.30000000000001</v>
      </c>
      <c r="AA232">
        <v>142.9</v>
      </c>
      <c r="AB232">
        <f t="shared" si="12"/>
        <v>1671.4</v>
      </c>
      <c r="AC232">
        <v>149.4</v>
      </c>
      <c r="AD232">
        <v>141.19999999999999</v>
      </c>
      <c r="AE232">
        <f t="shared" si="13"/>
        <v>289</v>
      </c>
      <c r="AF232">
        <f t="shared" si="14"/>
        <v>1007.1</v>
      </c>
      <c r="AG232">
        <f t="shared" si="15"/>
        <v>3258.1</v>
      </c>
    </row>
    <row r="233" spans="1:33" hidden="1" x14ac:dyDescent="0.25">
      <c r="A233" t="s">
        <v>26</v>
      </c>
      <c r="B233">
        <v>2019</v>
      </c>
      <c r="C233" t="s">
        <v>35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164.5</v>
      </c>
      <c r="Q233">
        <v>151.6</v>
      </c>
      <c r="R233">
        <v>146.6</v>
      </c>
      <c r="T233">
        <v>146.80000000000001</v>
      </c>
      <c r="U233">
        <v>150</v>
      </c>
      <c r="V233">
        <v>152.19999999999999</v>
      </c>
      <c r="W233">
        <v>131.19999999999999</v>
      </c>
      <c r="X233">
        <v>147.5</v>
      </c>
      <c r="Y233">
        <v>159.1</v>
      </c>
      <c r="Z233">
        <v>136.1</v>
      </c>
      <c r="AA233">
        <v>144.9</v>
      </c>
      <c r="AB233">
        <f t="shared" si="12"/>
        <v>1683.8999999999999</v>
      </c>
      <c r="AD233">
        <v>146.80000000000001</v>
      </c>
      <c r="AE233">
        <f t="shared" si="13"/>
        <v>298.2</v>
      </c>
      <c r="AF233">
        <f t="shared" si="14"/>
        <v>1040.5999999999999</v>
      </c>
      <c r="AG233">
        <f t="shared" si="15"/>
        <v>3169.4999999999995</v>
      </c>
    </row>
    <row r="234" spans="1:33" hidden="1" x14ac:dyDescent="0.25">
      <c r="A234" t="s">
        <v>28</v>
      </c>
      <c r="B234">
        <v>2019</v>
      </c>
      <c r="C234" t="s">
        <v>35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167.2</v>
      </c>
      <c r="Q234">
        <v>144.69999999999999</v>
      </c>
      <c r="R234">
        <v>131.9</v>
      </c>
      <c r="S234">
        <v>150.6</v>
      </c>
      <c r="T234">
        <v>127</v>
      </c>
      <c r="U234">
        <v>137.69999999999999</v>
      </c>
      <c r="V234">
        <v>140.80000000000001</v>
      </c>
      <c r="W234">
        <v>120.6</v>
      </c>
      <c r="X234">
        <v>135</v>
      </c>
      <c r="Y234">
        <v>150.4</v>
      </c>
      <c r="Z234">
        <v>135.1</v>
      </c>
      <c r="AA234">
        <v>143.30000000000001</v>
      </c>
      <c r="AB234">
        <f t="shared" si="12"/>
        <v>1709.6999999999998</v>
      </c>
      <c r="AC234">
        <v>150.6</v>
      </c>
      <c r="AD234">
        <v>127</v>
      </c>
      <c r="AE234">
        <f t="shared" si="13"/>
        <v>276.60000000000002</v>
      </c>
      <c r="AF234">
        <f t="shared" si="14"/>
        <v>986.8</v>
      </c>
      <c r="AG234">
        <f t="shared" si="15"/>
        <v>3250.7</v>
      </c>
    </row>
    <row r="235" spans="1:33" hidden="1" x14ac:dyDescent="0.25">
      <c r="A235" t="s">
        <v>29</v>
      </c>
      <c r="B235">
        <v>2019</v>
      </c>
      <c r="C235" t="s">
        <v>35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165.2</v>
      </c>
      <c r="Q235">
        <v>148.9</v>
      </c>
      <c r="R235">
        <v>140.5</v>
      </c>
      <c r="S235">
        <v>150.6</v>
      </c>
      <c r="T235">
        <v>139.30000000000001</v>
      </c>
      <c r="U235">
        <v>144.19999999999999</v>
      </c>
      <c r="V235">
        <v>147.9</v>
      </c>
      <c r="W235">
        <v>125.6</v>
      </c>
      <c r="X235">
        <v>140.5</v>
      </c>
      <c r="Y235">
        <v>154</v>
      </c>
      <c r="Z235">
        <v>135.69999999999999</v>
      </c>
      <c r="AA235">
        <v>144.19999999999999</v>
      </c>
      <c r="AB235">
        <f t="shared" si="12"/>
        <v>1692.8</v>
      </c>
      <c r="AC235">
        <v>150.6</v>
      </c>
      <c r="AD235">
        <v>139.30000000000001</v>
      </c>
      <c r="AE235">
        <f t="shared" si="13"/>
        <v>289.39999999999998</v>
      </c>
      <c r="AF235">
        <f t="shared" si="14"/>
        <v>1013.1000000000001</v>
      </c>
      <c r="AG235">
        <f t="shared" si="15"/>
        <v>3285.2</v>
      </c>
    </row>
    <row r="236" spans="1:33" hidden="1" x14ac:dyDescent="0.25">
      <c r="A236" t="s">
        <v>26</v>
      </c>
      <c r="B236">
        <v>2019</v>
      </c>
      <c r="C236" t="s">
        <v>36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165.1</v>
      </c>
      <c r="Q236">
        <v>151.80000000000001</v>
      </c>
      <c r="R236">
        <v>146.6</v>
      </c>
      <c r="T236">
        <v>146.4</v>
      </c>
      <c r="U236">
        <v>150.19999999999999</v>
      </c>
      <c r="V236">
        <v>152.69999999999999</v>
      </c>
      <c r="W236">
        <v>131.4</v>
      </c>
      <c r="X236">
        <v>148</v>
      </c>
      <c r="Y236">
        <v>159.69999999999999</v>
      </c>
      <c r="Z236">
        <v>138.80000000000001</v>
      </c>
      <c r="AA236">
        <v>145.69999999999999</v>
      </c>
      <c r="AB236">
        <f t="shared" si="12"/>
        <v>1690.5000000000002</v>
      </c>
      <c r="AD236">
        <v>146.4</v>
      </c>
      <c r="AE236">
        <f t="shared" si="13"/>
        <v>298.39999999999998</v>
      </c>
      <c r="AF236">
        <f t="shared" si="14"/>
        <v>1045.8999999999999</v>
      </c>
      <c r="AG236">
        <f t="shared" si="15"/>
        <v>3181.2</v>
      </c>
    </row>
    <row r="237" spans="1:33" hidden="1" x14ac:dyDescent="0.25">
      <c r="A237" t="s">
        <v>28</v>
      </c>
      <c r="B237">
        <v>2019</v>
      </c>
      <c r="C237" t="s">
        <v>36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167.9</v>
      </c>
      <c r="Q237">
        <v>145</v>
      </c>
      <c r="R237">
        <v>132.19999999999999</v>
      </c>
      <c r="S237">
        <v>151.6</v>
      </c>
      <c r="T237">
        <v>125.5</v>
      </c>
      <c r="U237">
        <v>138.1</v>
      </c>
      <c r="V237">
        <v>141.5</v>
      </c>
      <c r="W237">
        <v>120.8</v>
      </c>
      <c r="X237">
        <v>135.4</v>
      </c>
      <c r="Y237">
        <v>151.5</v>
      </c>
      <c r="Z237">
        <v>137.80000000000001</v>
      </c>
      <c r="AA237">
        <v>144.19999999999999</v>
      </c>
      <c r="AB237">
        <f t="shared" si="12"/>
        <v>1720</v>
      </c>
      <c r="AC237">
        <v>151.6</v>
      </c>
      <c r="AD237">
        <v>125.5</v>
      </c>
      <c r="AE237">
        <f t="shared" si="13"/>
        <v>277.2</v>
      </c>
      <c r="AF237">
        <f t="shared" si="14"/>
        <v>993.00000000000011</v>
      </c>
      <c r="AG237">
        <f t="shared" si="15"/>
        <v>3267.2999999999997</v>
      </c>
    </row>
    <row r="238" spans="1:33" hidden="1" x14ac:dyDescent="0.25">
      <c r="A238" t="s">
        <v>29</v>
      </c>
      <c r="B238">
        <v>2019</v>
      </c>
      <c r="C238" t="s">
        <v>36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165.8</v>
      </c>
      <c r="Q238">
        <v>149.1</v>
      </c>
      <c r="R238">
        <v>140.6</v>
      </c>
      <c r="S238">
        <v>151.6</v>
      </c>
      <c r="T238">
        <v>138.5</v>
      </c>
      <c r="U238">
        <v>144.5</v>
      </c>
      <c r="V238">
        <v>148.5</v>
      </c>
      <c r="W238">
        <v>125.8</v>
      </c>
      <c r="X238">
        <v>140.9</v>
      </c>
      <c r="Y238">
        <v>154.9</v>
      </c>
      <c r="Z238">
        <v>138.4</v>
      </c>
      <c r="AA238">
        <v>145</v>
      </c>
      <c r="AB238">
        <f t="shared" si="12"/>
        <v>1700.6</v>
      </c>
      <c r="AC238">
        <v>151.6</v>
      </c>
      <c r="AD238">
        <v>138.5</v>
      </c>
      <c r="AE238">
        <f t="shared" si="13"/>
        <v>289.7</v>
      </c>
      <c r="AF238">
        <f t="shared" si="14"/>
        <v>1018.8</v>
      </c>
      <c r="AG238">
        <f t="shared" si="15"/>
        <v>3299.2</v>
      </c>
    </row>
    <row r="239" spans="1:33" hidden="1" x14ac:dyDescent="0.25">
      <c r="A239" t="s">
        <v>26</v>
      </c>
      <c r="B239">
        <v>2019</v>
      </c>
      <c r="C239" t="s">
        <v>37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165.7</v>
      </c>
      <c r="Q239">
        <v>151.69999999999999</v>
      </c>
      <c r="R239">
        <v>146.6</v>
      </c>
      <c r="T239">
        <v>146.9</v>
      </c>
      <c r="U239">
        <v>150.30000000000001</v>
      </c>
      <c r="V239">
        <v>153.4</v>
      </c>
      <c r="W239">
        <v>131.6</v>
      </c>
      <c r="X239">
        <v>148.30000000000001</v>
      </c>
      <c r="Y239">
        <v>160.19999999999999</v>
      </c>
      <c r="Z239">
        <v>140.19999999999999</v>
      </c>
      <c r="AA239">
        <v>146.69999999999999</v>
      </c>
      <c r="AB239">
        <f t="shared" si="12"/>
        <v>1703.2</v>
      </c>
      <c r="AD239">
        <v>146.9</v>
      </c>
      <c r="AE239">
        <f t="shared" si="13"/>
        <v>298.29999999999995</v>
      </c>
      <c r="AF239">
        <f t="shared" si="14"/>
        <v>1049.7000000000003</v>
      </c>
      <c r="AG239">
        <f t="shared" si="15"/>
        <v>3198.1000000000004</v>
      </c>
    </row>
    <row r="240" spans="1:33" hidden="1" x14ac:dyDescent="0.25">
      <c r="A240" t="s">
        <v>28</v>
      </c>
      <c r="B240">
        <v>2019</v>
      </c>
      <c r="C240" t="s">
        <v>37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168.6</v>
      </c>
      <c r="Q240">
        <v>145.30000000000001</v>
      </c>
      <c r="R240">
        <v>132.19999999999999</v>
      </c>
      <c r="S240">
        <v>152.19999999999999</v>
      </c>
      <c r="T240">
        <v>126.6</v>
      </c>
      <c r="U240">
        <v>138.30000000000001</v>
      </c>
      <c r="V240">
        <v>141.9</v>
      </c>
      <c r="W240">
        <v>121.2</v>
      </c>
      <c r="X240">
        <v>135.9</v>
      </c>
      <c r="Y240">
        <v>151.6</v>
      </c>
      <c r="Z240">
        <v>139</v>
      </c>
      <c r="AA240">
        <v>144.69999999999999</v>
      </c>
      <c r="AB240">
        <f t="shared" si="12"/>
        <v>1725.4</v>
      </c>
      <c r="AC240">
        <v>152.19999999999999</v>
      </c>
      <c r="AD240">
        <v>126.6</v>
      </c>
      <c r="AE240">
        <f t="shared" si="13"/>
        <v>277.5</v>
      </c>
      <c r="AF240">
        <f t="shared" si="14"/>
        <v>996.50000000000011</v>
      </c>
      <c r="AG240">
        <f t="shared" si="15"/>
        <v>3278.2</v>
      </c>
    </row>
    <row r="241" spans="1:33" hidden="1" x14ac:dyDescent="0.25">
      <c r="A241" t="s">
        <v>29</v>
      </c>
      <c r="B241">
        <v>2019</v>
      </c>
      <c r="C241" t="s">
        <v>37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166.5</v>
      </c>
      <c r="Q241">
        <v>149.19999999999999</v>
      </c>
      <c r="R241">
        <v>140.6</v>
      </c>
      <c r="S241">
        <v>152.19999999999999</v>
      </c>
      <c r="T241">
        <v>139.19999999999999</v>
      </c>
      <c r="U241">
        <v>144.6</v>
      </c>
      <c r="V241">
        <v>149</v>
      </c>
      <c r="W241">
        <v>126.1</v>
      </c>
      <c r="X241">
        <v>141.30000000000001</v>
      </c>
      <c r="Y241">
        <v>155.19999999999999</v>
      </c>
      <c r="Z241">
        <v>139.69999999999999</v>
      </c>
      <c r="AA241">
        <v>145.80000000000001</v>
      </c>
      <c r="AB241">
        <f t="shared" si="12"/>
        <v>1710.6999999999998</v>
      </c>
      <c r="AC241">
        <v>152.19999999999999</v>
      </c>
      <c r="AD241">
        <v>139.19999999999999</v>
      </c>
      <c r="AE241">
        <f t="shared" si="13"/>
        <v>289.79999999999995</v>
      </c>
      <c r="AF241">
        <f t="shared" si="14"/>
        <v>1022.4000000000001</v>
      </c>
      <c r="AG241">
        <f t="shared" si="15"/>
        <v>3314.2999999999997</v>
      </c>
    </row>
    <row r="242" spans="1:33" hidden="1" x14ac:dyDescent="0.25">
      <c r="A242" t="s">
        <v>26</v>
      </c>
      <c r="B242">
        <v>2019</v>
      </c>
      <c r="C242" t="s">
        <v>38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166.3</v>
      </c>
      <c r="Q242">
        <v>151.69999999999999</v>
      </c>
      <c r="R242">
        <v>146.69999999999999</v>
      </c>
      <c r="T242">
        <v>147.69999999999999</v>
      </c>
      <c r="U242">
        <v>150.6</v>
      </c>
      <c r="V242">
        <v>153.69999999999999</v>
      </c>
      <c r="W242">
        <v>131.69999999999999</v>
      </c>
      <c r="X242">
        <v>148.69999999999999</v>
      </c>
      <c r="Y242">
        <v>160.69999999999999</v>
      </c>
      <c r="Z242">
        <v>140.30000000000001</v>
      </c>
      <c r="AA242">
        <v>148.30000000000001</v>
      </c>
      <c r="AB242">
        <f t="shared" si="12"/>
        <v>1728.5999999999997</v>
      </c>
      <c r="AD242">
        <v>147.69999999999999</v>
      </c>
      <c r="AE242">
        <f t="shared" si="13"/>
        <v>298.39999999999998</v>
      </c>
      <c r="AF242">
        <f t="shared" si="14"/>
        <v>1051.9999999999998</v>
      </c>
      <c r="AG242">
        <f t="shared" si="15"/>
        <v>3226.7</v>
      </c>
    </row>
    <row r="243" spans="1:33" hidden="1" x14ac:dyDescent="0.25">
      <c r="A243" t="s">
        <v>28</v>
      </c>
      <c r="B243">
        <v>2019</v>
      </c>
      <c r="C243" t="s">
        <v>38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169.3</v>
      </c>
      <c r="Q243">
        <v>145.9</v>
      </c>
      <c r="R243">
        <v>132.4</v>
      </c>
      <c r="S243">
        <v>153</v>
      </c>
      <c r="T243">
        <v>128.9</v>
      </c>
      <c r="U243">
        <v>138.69999999999999</v>
      </c>
      <c r="V243">
        <v>142.4</v>
      </c>
      <c r="W243">
        <v>121.5</v>
      </c>
      <c r="X243">
        <v>136.19999999999999</v>
      </c>
      <c r="Y243">
        <v>151.69999999999999</v>
      </c>
      <c r="Z243">
        <v>139.5</v>
      </c>
      <c r="AA243">
        <v>146</v>
      </c>
      <c r="AB243">
        <f t="shared" si="12"/>
        <v>1750.7</v>
      </c>
      <c r="AC243">
        <v>153</v>
      </c>
      <c r="AD243">
        <v>128.9</v>
      </c>
      <c r="AE243">
        <f t="shared" si="13"/>
        <v>278.3</v>
      </c>
      <c r="AF243">
        <f t="shared" si="14"/>
        <v>999.3</v>
      </c>
      <c r="AG243">
        <f t="shared" si="15"/>
        <v>3310.2</v>
      </c>
    </row>
    <row r="244" spans="1:33" hidden="1" x14ac:dyDescent="0.25">
      <c r="A244" t="s">
        <v>29</v>
      </c>
      <c r="B244">
        <v>2019</v>
      </c>
      <c r="C244" t="s">
        <v>38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167.1</v>
      </c>
      <c r="Q244">
        <v>149.4</v>
      </c>
      <c r="R244">
        <v>140.80000000000001</v>
      </c>
      <c r="S244">
        <v>153</v>
      </c>
      <c r="T244">
        <v>140.6</v>
      </c>
      <c r="U244">
        <v>145</v>
      </c>
      <c r="V244">
        <v>149.4</v>
      </c>
      <c r="W244">
        <v>126.3</v>
      </c>
      <c r="X244">
        <v>141.69999999999999</v>
      </c>
      <c r="Y244">
        <v>155.4</v>
      </c>
      <c r="Z244">
        <v>140</v>
      </c>
      <c r="AA244">
        <v>147.19999999999999</v>
      </c>
      <c r="AB244">
        <f t="shared" si="12"/>
        <v>1735.9999999999998</v>
      </c>
      <c r="AC244">
        <v>153</v>
      </c>
      <c r="AD244">
        <v>140.6</v>
      </c>
      <c r="AE244">
        <f t="shared" si="13"/>
        <v>290.20000000000005</v>
      </c>
      <c r="AF244">
        <f t="shared" si="14"/>
        <v>1024.8999999999999</v>
      </c>
      <c r="AG244">
        <f t="shared" si="15"/>
        <v>3344.7</v>
      </c>
    </row>
    <row r="245" spans="1:33" hidden="1" x14ac:dyDescent="0.25">
      <c r="A245" t="s">
        <v>26</v>
      </c>
      <c r="B245">
        <v>2019</v>
      </c>
      <c r="C245" t="s">
        <v>40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167.2</v>
      </c>
      <c r="Q245">
        <v>152.30000000000001</v>
      </c>
      <c r="R245">
        <v>147</v>
      </c>
      <c r="T245">
        <v>148.4</v>
      </c>
      <c r="U245">
        <v>150.9</v>
      </c>
      <c r="V245">
        <v>154.30000000000001</v>
      </c>
      <c r="W245">
        <v>132.1</v>
      </c>
      <c r="X245">
        <v>149.1</v>
      </c>
      <c r="Y245">
        <v>160.80000000000001</v>
      </c>
      <c r="Z245">
        <v>140.6</v>
      </c>
      <c r="AA245">
        <v>149.9</v>
      </c>
      <c r="AB245">
        <f t="shared" si="12"/>
        <v>1753.7</v>
      </c>
      <c r="AD245">
        <v>148.4</v>
      </c>
      <c r="AE245">
        <f t="shared" si="13"/>
        <v>299.3</v>
      </c>
      <c r="AF245">
        <f t="shared" si="14"/>
        <v>1055</v>
      </c>
      <c r="AG245">
        <f t="shared" si="15"/>
        <v>3256.4</v>
      </c>
    </row>
    <row r="246" spans="1:33" hidden="1" x14ac:dyDescent="0.25">
      <c r="A246" t="s">
        <v>28</v>
      </c>
      <c r="B246">
        <v>2019</v>
      </c>
      <c r="C246" t="s">
        <v>40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169.9</v>
      </c>
      <c r="Q246">
        <v>146.30000000000001</v>
      </c>
      <c r="R246">
        <v>132.6</v>
      </c>
      <c r="S246">
        <v>153.5</v>
      </c>
      <c r="T246">
        <v>132.19999999999999</v>
      </c>
      <c r="U246">
        <v>139.1</v>
      </c>
      <c r="V246">
        <v>142.80000000000001</v>
      </c>
      <c r="W246">
        <v>121.7</v>
      </c>
      <c r="X246">
        <v>136.69999999999999</v>
      </c>
      <c r="Y246">
        <v>151.80000000000001</v>
      </c>
      <c r="Z246">
        <v>139.80000000000001</v>
      </c>
      <c r="AA246">
        <v>147</v>
      </c>
      <c r="AB246">
        <f t="shared" si="12"/>
        <v>1770.3999999999999</v>
      </c>
      <c r="AC246">
        <v>153.5</v>
      </c>
      <c r="AD246">
        <v>132.19999999999999</v>
      </c>
      <c r="AE246">
        <f t="shared" si="13"/>
        <v>278.89999999999998</v>
      </c>
      <c r="AF246">
        <f t="shared" si="14"/>
        <v>1001.7999999999998</v>
      </c>
      <c r="AG246">
        <f t="shared" si="15"/>
        <v>3336.7999999999997</v>
      </c>
    </row>
    <row r="247" spans="1:33" hidden="1" x14ac:dyDescent="0.25">
      <c r="A247" t="s">
        <v>29</v>
      </c>
      <c r="B247">
        <v>2019</v>
      </c>
      <c r="C247" t="s">
        <v>40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167.9</v>
      </c>
      <c r="Q247">
        <v>149.9</v>
      </c>
      <c r="R247">
        <v>141</v>
      </c>
      <c r="S247">
        <v>153.5</v>
      </c>
      <c r="T247">
        <v>142.30000000000001</v>
      </c>
      <c r="U247">
        <v>145.30000000000001</v>
      </c>
      <c r="V247">
        <v>149.9</v>
      </c>
      <c r="W247">
        <v>126.6</v>
      </c>
      <c r="X247">
        <v>142.1</v>
      </c>
      <c r="Y247">
        <v>155.5</v>
      </c>
      <c r="Z247">
        <v>140.30000000000001</v>
      </c>
      <c r="AA247">
        <v>148.6</v>
      </c>
      <c r="AB247">
        <f t="shared" si="12"/>
        <v>1759</v>
      </c>
      <c r="AC247">
        <v>153.5</v>
      </c>
      <c r="AD247">
        <v>142.30000000000001</v>
      </c>
      <c r="AE247">
        <f t="shared" si="13"/>
        <v>290.89999999999998</v>
      </c>
      <c r="AF247">
        <f t="shared" si="14"/>
        <v>1027.6000000000001</v>
      </c>
      <c r="AG247">
        <f t="shared" si="15"/>
        <v>3373.3</v>
      </c>
    </row>
    <row r="248" spans="1:33" hidden="1" x14ac:dyDescent="0.25">
      <c r="A248" t="s">
        <v>26</v>
      </c>
      <c r="B248">
        <v>2019</v>
      </c>
      <c r="C248" t="s">
        <v>41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167.8</v>
      </c>
      <c r="Q248">
        <v>152.6</v>
      </c>
      <c r="R248">
        <v>147.30000000000001</v>
      </c>
      <c r="T248">
        <v>149.9</v>
      </c>
      <c r="U248">
        <v>151.19999999999999</v>
      </c>
      <c r="V248">
        <v>154.80000000000001</v>
      </c>
      <c r="W248">
        <v>135</v>
      </c>
      <c r="X248">
        <v>149.5</v>
      </c>
      <c r="Y248">
        <v>161.1</v>
      </c>
      <c r="Z248">
        <v>140.6</v>
      </c>
      <c r="AA248">
        <v>152.30000000000001</v>
      </c>
      <c r="AB248">
        <f t="shared" si="12"/>
        <v>1786.6999999999996</v>
      </c>
      <c r="AD248">
        <v>149.9</v>
      </c>
      <c r="AE248">
        <f t="shared" si="13"/>
        <v>299.89999999999998</v>
      </c>
      <c r="AF248">
        <f t="shared" si="14"/>
        <v>1060</v>
      </c>
      <c r="AG248">
        <f t="shared" si="15"/>
        <v>3296.4999999999995</v>
      </c>
    </row>
    <row r="249" spans="1:33" hidden="1" x14ac:dyDescent="0.25">
      <c r="A249" t="s">
        <v>28</v>
      </c>
      <c r="B249">
        <v>2019</v>
      </c>
      <c r="C249" t="s">
        <v>41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170.4</v>
      </c>
      <c r="Q249">
        <v>146.80000000000001</v>
      </c>
      <c r="R249">
        <v>132.80000000000001</v>
      </c>
      <c r="S249">
        <v>152.80000000000001</v>
      </c>
      <c r="T249">
        <v>133.6</v>
      </c>
      <c r="U249">
        <v>139.80000000000001</v>
      </c>
      <c r="V249">
        <v>143.19999999999999</v>
      </c>
      <c r="W249">
        <v>125.2</v>
      </c>
      <c r="X249">
        <v>136.80000000000001</v>
      </c>
      <c r="Y249">
        <v>151.9</v>
      </c>
      <c r="Z249">
        <v>140.19999999999999</v>
      </c>
      <c r="AA249">
        <v>148.30000000000001</v>
      </c>
      <c r="AB249">
        <f t="shared" si="12"/>
        <v>1800.4</v>
      </c>
      <c r="AC249">
        <v>152.80000000000001</v>
      </c>
      <c r="AD249">
        <v>133.6</v>
      </c>
      <c r="AE249">
        <f t="shared" si="13"/>
        <v>279.60000000000002</v>
      </c>
      <c r="AF249">
        <f t="shared" si="14"/>
        <v>1007.4999999999999</v>
      </c>
      <c r="AG249">
        <f t="shared" si="15"/>
        <v>3373.9</v>
      </c>
    </row>
    <row r="250" spans="1:33" hidden="1" x14ac:dyDescent="0.25">
      <c r="A250" t="s">
        <v>29</v>
      </c>
      <c r="B250">
        <v>2019</v>
      </c>
      <c r="C250" t="s">
        <v>41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168.5</v>
      </c>
      <c r="Q250">
        <v>150.30000000000001</v>
      </c>
      <c r="R250">
        <v>141.30000000000001</v>
      </c>
      <c r="S250">
        <v>152.80000000000001</v>
      </c>
      <c r="T250">
        <v>143.69999999999999</v>
      </c>
      <c r="U250">
        <v>145.80000000000001</v>
      </c>
      <c r="V250">
        <v>150.4</v>
      </c>
      <c r="W250">
        <v>129.80000000000001</v>
      </c>
      <c r="X250">
        <v>142.30000000000001</v>
      </c>
      <c r="Y250">
        <v>155.69999999999999</v>
      </c>
      <c r="Z250">
        <v>140.4</v>
      </c>
      <c r="AA250">
        <v>150.4</v>
      </c>
      <c r="AB250">
        <f t="shared" si="12"/>
        <v>1791.1000000000001</v>
      </c>
      <c r="AC250">
        <v>152.80000000000001</v>
      </c>
      <c r="AD250">
        <v>143.69999999999999</v>
      </c>
      <c r="AE250">
        <f t="shared" si="13"/>
        <v>291.60000000000002</v>
      </c>
      <c r="AF250">
        <f t="shared" si="14"/>
        <v>1032.9000000000001</v>
      </c>
      <c r="AG250">
        <f t="shared" si="15"/>
        <v>3412.1</v>
      </c>
    </row>
    <row r="251" spans="1:33" hidden="1" x14ac:dyDescent="0.25">
      <c r="A251" t="s">
        <v>26</v>
      </c>
      <c r="B251">
        <v>2020</v>
      </c>
      <c r="C251" t="s">
        <v>27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168.6</v>
      </c>
      <c r="Q251">
        <v>152.80000000000001</v>
      </c>
      <c r="R251">
        <v>147.4</v>
      </c>
      <c r="T251">
        <v>150.4</v>
      </c>
      <c r="U251">
        <v>151.69999999999999</v>
      </c>
      <c r="V251">
        <v>155.69999999999999</v>
      </c>
      <c r="W251">
        <v>136.30000000000001</v>
      </c>
      <c r="X251">
        <v>150.1</v>
      </c>
      <c r="Y251">
        <v>161.69999999999999</v>
      </c>
      <c r="Z251">
        <v>142.5</v>
      </c>
      <c r="AA251">
        <v>151.9</v>
      </c>
      <c r="AB251">
        <f t="shared" si="12"/>
        <v>1785.6</v>
      </c>
      <c r="AD251">
        <v>150.4</v>
      </c>
      <c r="AE251">
        <f t="shared" si="13"/>
        <v>300.20000000000005</v>
      </c>
      <c r="AF251">
        <f t="shared" si="14"/>
        <v>1066.5999999999999</v>
      </c>
      <c r="AG251">
        <f t="shared" si="15"/>
        <v>3302.7999999999997</v>
      </c>
    </row>
    <row r="252" spans="1:33" hidden="1" x14ac:dyDescent="0.25">
      <c r="A252" t="s">
        <v>28</v>
      </c>
      <c r="B252">
        <v>2020</v>
      </c>
      <c r="C252" t="s">
        <v>27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170.8</v>
      </c>
      <c r="Q252">
        <v>147</v>
      </c>
      <c r="R252">
        <v>133.19999999999999</v>
      </c>
      <c r="S252">
        <v>153.9</v>
      </c>
      <c r="T252">
        <v>135.1</v>
      </c>
      <c r="U252">
        <v>140.1</v>
      </c>
      <c r="V252">
        <v>143.80000000000001</v>
      </c>
      <c r="W252">
        <v>126.1</v>
      </c>
      <c r="X252">
        <v>137.19999999999999</v>
      </c>
      <c r="Y252">
        <v>152.1</v>
      </c>
      <c r="Z252">
        <v>142.1</v>
      </c>
      <c r="AA252">
        <v>148.19999999999999</v>
      </c>
      <c r="AB252">
        <f t="shared" si="12"/>
        <v>1790.9999999999998</v>
      </c>
      <c r="AC252">
        <v>153.9</v>
      </c>
      <c r="AD252">
        <v>135.1</v>
      </c>
      <c r="AE252">
        <f t="shared" si="13"/>
        <v>280.2</v>
      </c>
      <c r="AF252">
        <f t="shared" si="14"/>
        <v>1012.2</v>
      </c>
      <c r="AG252">
        <f t="shared" si="15"/>
        <v>3372.3999999999996</v>
      </c>
    </row>
    <row r="253" spans="1:33" hidden="1" x14ac:dyDescent="0.25">
      <c r="A253" t="s">
        <v>29</v>
      </c>
      <c r="B253">
        <v>2020</v>
      </c>
      <c r="C253" t="s">
        <v>27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169.2</v>
      </c>
      <c r="Q253">
        <v>150.5</v>
      </c>
      <c r="R253">
        <v>141.5</v>
      </c>
      <c r="S253">
        <v>153.9</v>
      </c>
      <c r="T253">
        <v>144.6</v>
      </c>
      <c r="U253">
        <v>146.19999999999999</v>
      </c>
      <c r="V253">
        <v>151.19999999999999</v>
      </c>
      <c r="W253">
        <v>130.9</v>
      </c>
      <c r="X253">
        <v>142.80000000000001</v>
      </c>
      <c r="Y253">
        <v>156.1</v>
      </c>
      <c r="Z253">
        <v>142.30000000000001</v>
      </c>
      <c r="AA253">
        <v>150.19999999999999</v>
      </c>
      <c r="AB253">
        <f t="shared" si="12"/>
        <v>1786.8999999999999</v>
      </c>
      <c r="AC253">
        <v>153.9</v>
      </c>
      <c r="AD253">
        <v>144.6</v>
      </c>
      <c r="AE253">
        <f t="shared" si="13"/>
        <v>292</v>
      </c>
      <c r="AF253">
        <f t="shared" si="14"/>
        <v>1038.7</v>
      </c>
      <c r="AG253">
        <f t="shared" si="15"/>
        <v>3416.1000000000004</v>
      </c>
    </row>
    <row r="254" spans="1:33" hidden="1" x14ac:dyDescent="0.25">
      <c r="A254" t="s">
        <v>26</v>
      </c>
      <c r="B254">
        <v>2020</v>
      </c>
      <c r="C254" t="s">
        <v>30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169.4</v>
      </c>
      <c r="Q254">
        <v>153</v>
      </c>
      <c r="R254">
        <v>147.5</v>
      </c>
      <c r="T254">
        <v>152.30000000000001</v>
      </c>
      <c r="U254">
        <v>151.80000000000001</v>
      </c>
      <c r="V254">
        <v>156.19999999999999</v>
      </c>
      <c r="W254">
        <v>136</v>
      </c>
      <c r="X254">
        <v>150.4</v>
      </c>
      <c r="Y254">
        <v>161.9</v>
      </c>
      <c r="Z254">
        <v>143.4</v>
      </c>
      <c r="AA254">
        <v>150.4</v>
      </c>
      <c r="AB254">
        <f t="shared" si="12"/>
        <v>1759.9999999999998</v>
      </c>
      <c r="AD254">
        <v>152.30000000000001</v>
      </c>
      <c r="AE254">
        <f t="shared" si="13"/>
        <v>300.5</v>
      </c>
      <c r="AF254">
        <f t="shared" si="14"/>
        <v>1069.0999999999999</v>
      </c>
      <c r="AG254">
        <f t="shared" si="15"/>
        <v>3281.8999999999996</v>
      </c>
    </row>
    <row r="255" spans="1:33" hidden="1" x14ac:dyDescent="0.25">
      <c r="A255" t="s">
        <v>28</v>
      </c>
      <c r="B255">
        <v>2020</v>
      </c>
      <c r="C255" t="s">
        <v>30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172</v>
      </c>
      <c r="Q255">
        <v>147.30000000000001</v>
      </c>
      <c r="R255">
        <v>133.5</v>
      </c>
      <c r="S255">
        <v>154.80000000000001</v>
      </c>
      <c r="T255">
        <v>138.9</v>
      </c>
      <c r="U255">
        <v>140.4</v>
      </c>
      <c r="V255">
        <v>144.4</v>
      </c>
      <c r="W255">
        <v>125.2</v>
      </c>
      <c r="X255">
        <v>137.69999999999999</v>
      </c>
      <c r="Y255">
        <v>152.19999999999999</v>
      </c>
      <c r="Z255">
        <v>143.5</v>
      </c>
      <c r="AA255">
        <v>147.69999999999999</v>
      </c>
      <c r="AB255">
        <f t="shared" si="12"/>
        <v>1764.8999999999999</v>
      </c>
      <c r="AC255">
        <v>154.80000000000001</v>
      </c>
      <c r="AD255">
        <v>138.9</v>
      </c>
      <c r="AE255">
        <f t="shared" si="13"/>
        <v>280.8</v>
      </c>
      <c r="AF255">
        <f t="shared" si="14"/>
        <v>1015.4000000000001</v>
      </c>
      <c r="AG255">
        <f t="shared" si="15"/>
        <v>3354.8</v>
      </c>
    </row>
    <row r="256" spans="1:33" hidden="1" x14ac:dyDescent="0.25">
      <c r="A256" t="s">
        <v>29</v>
      </c>
      <c r="B256">
        <v>2020</v>
      </c>
      <c r="C256" t="s">
        <v>30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170.1</v>
      </c>
      <c r="Q256">
        <v>150.80000000000001</v>
      </c>
      <c r="R256">
        <v>141.69999999999999</v>
      </c>
      <c r="S256">
        <v>154.80000000000001</v>
      </c>
      <c r="T256">
        <v>147.19999999999999</v>
      </c>
      <c r="U256">
        <v>146.4</v>
      </c>
      <c r="V256">
        <v>151.69999999999999</v>
      </c>
      <c r="W256">
        <v>130.30000000000001</v>
      </c>
      <c r="X256">
        <v>143.19999999999999</v>
      </c>
      <c r="Y256">
        <v>156.19999999999999</v>
      </c>
      <c r="Z256">
        <v>143.4</v>
      </c>
      <c r="AA256">
        <v>149.1</v>
      </c>
      <c r="AB256">
        <f t="shared" si="12"/>
        <v>1761.1</v>
      </c>
      <c r="AC256">
        <v>154.80000000000001</v>
      </c>
      <c r="AD256">
        <v>147.19999999999999</v>
      </c>
      <c r="AE256">
        <f t="shared" si="13"/>
        <v>292.5</v>
      </c>
      <c r="AF256">
        <f t="shared" si="14"/>
        <v>1041.3</v>
      </c>
      <c r="AG256">
        <f t="shared" si="15"/>
        <v>3396.8999999999996</v>
      </c>
    </row>
    <row r="257" spans="1:33" hidden="1" x14ac:dyDescent="0.25">
      <c r="A257" t="s">
        <v>26</v>
      </c>
      <c r="B257">
        <v>2020</v>
      </c>
      <c r="C257" t="s">
        <v>31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170.5</v>
      </c>
      <c r="Q257">
        <v>153.4</v>
      </c>
      <c r="R257">
        <v>147.6</v>
      </c>
      <c r="T257">
        <v>153.4</v>
      </c>
      <c r="U257">
        <v>151.5</v>
      </c>
      <c r="V257">
        <v>156.69999999999999</v>
      </c>
      <c r="W257">
        <v>135.80000000000001</v>
      </c>
      <c r="X257">
        <v>151.19999999999999</v>
      </c>
      <c r="Y257">
        <v>161.19999999999999</v>
      </c>
      <c r="Z257">
        <v>145.1</v>
      </c>
      <c r="AA257">
        <v>149.80000000000001</v>
      </c>
      <c r="AB257">
        <f t="shared" si="12"/>
        <v>1746.3999999999996</v>
      </c>
      <c r="AD257">
        <v>153.4</v>
      </c>
      <c r="AE257">
        <f t="shared" si="13"/>
        <v>301</v>
      </c>
      <c r="AF257">
        <f t="shared" si="14"/>
        <v>1072</v>
      </c>
      <c r="AG257">
        <f t="shared" si="15"/>
        <v>3272.7999999999997</v>
      </c>
    </row>
    <row r="258" spans="1:33" hidden="1" x14ac:dyDescent="0.25">
      <c r="A258" t="s">
        <v>28</v>
      </c>
      <c r="B258">
        <v>2020</v>
      </c>
      <c r="C258" t="s">
        <v>31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173.3</v>
      </c>
      <c r="Q258">
        <v>147.69999999999999</v>
      </c>
      <c r="R258">
        <v>133.80000000000001</v>
      </c>
      <c r="S258">
        <v>154.5</v>
      </c>
      <c r="T258">
        <v>141.4</v>
      </c>
      <c r="U258">
        <v>140.80000000000001</v>
      </c>
      <c r="V258">
        <v>145</v>
      </c>
      <c r="W258">
        <v>124.6</v>
      </c>
      <c r="X258">
        <v>137.9</v>
      </c>
      <c r="Y258">
        <v>152.5</v>
      </c>
      <c r="Z258">
        <v>145.30000000000001</v>
      </c>
      <c r="AA258">
        <v>147.30000000000001</v>
      </c>
      <c r="AB258">
        <f t="shared" si="12"/>
        <v>1748.4</v>
      </c>
      <c r="AC258">
        <v>154.5</v>
      </c>
      <c r="AD258">
        <v>141.4</v>
      </c>
      <c r="AE258">
        <f t="shared" si="13"/>
        <v>281.5</v>
      </c>
      <c r="AF258">
        <f t="shared" si="14"/>
        <v>1019.3999999999999</v>
      </c>
      <c r="AG258">
        <f t="shared" si="15"/>
        <v>3345.2</v>
      </c>
    </row>
    <row r="259" spans="1:33" hidden="1" x14ac:dyDescent="0.25">
      <c r="A259" t="s">
        <v>29</v>
      </c>
      <c r="B259">
        <v>2020</v>
      </c>
      <c r="C259" t="s">
        <v>31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171.2</v>
      </c>
      <c r="Q259">
        <v>151.19999999999999</v>
      </c>
      <c r="R259">
        <v>141.9</v>
      </c>
      <c r="S259">
        <v>154.5</v>
      </c>
      <c r="T259">
        <v>148.9</v>
      </c>
      <c r="U259">
        <v>146.4</v>
      </c>
      <c r="V259">
        <v>152.30000000000001</v>
      </c>
      <c r="W259">
        <v>129.9</v>
      </c>
      <c r="X259">
        <v>143.69999999999999</v>
      </c>
      <c r="Y259">
        <v>156.1</v>
      </c>
      <c r="Z259">
        <v>145.19999999999999</v>
      </c>
      <c r="AA259">
        <v>148.6</v>
      </c>
      <c r="AB259">
        <f t="shared" ref="AB259:AB322" si="16">SUM(D259:O259)</f>
        <v>1746.5</v>
      </c>
      <c r="AC259">
        <v>154.5</v>
      </c>
      <c r="AD259">
        <v>148.9</v>
      </c>
      <c r="AE259">
        <f t="shared" ref="AE259:AE322" si="17">SUM(Q259:R259)</f>
        <v>293.10000000000002</v>
      </c>
      <c r="AF259">
        <f t="shared" ref="AF259:AF322" si="18">SUM(U259:Z259,P259)</f>
        <v>1044.8</v>
      </c>
      <c r="AG259">
        <f t="shared" ref="AG259:AG322" si="19">SUM(AB259:AF259)</f>
        <v>3387.8</v>
      </c>
    </row>
    <row r="260" spans="1:33" hidden="1" x14ac:dyDescent="0.25">
      <c r="A260" t="s">
        <v>26</v>
      </c>
      <c r="B260">
        <v>2020</v>
      </c>
      <c r="C260" t="s">
        <v>32</v>
      </c>
      <c r="D260">
        <v>147.19999999999999</v>
      </c>
      <c r="E260">
        <f>AVERAGE(E257,E266)</f>
        <v>178.55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f t="shared" ref="O260:P262" si="20">AVERAGE(O257,O266)</f>
        <v>160.9</v>
      </c>
      <c r="P260">
        <f t="shared" si="20"/>
        <v>176.45</v>
      </c>
      <c r="Q260">
        <f t="shared" ref="Q260:R260" si="21">AVERAGE(Q257,Q266)</f>
        <v>154.05000000000001</v>
      </c>
      <c r="R260">
        <f t="shared" si="21"/>
        <v>148.80000000000001</v>
      </c>
      <c r="T260">
        <v>148.4</v>
      </c>
      <c r="U260">
        <f>AVERAGE(U257,U266)</f>
        <v>151.6</v>
      </c>
      <c r="V260">
        <v>154.30000000000001</v>
      </c>
      <c r="W260">
        <f>AVERAGE(W257,W266)</f>
        <v>141.10000000000002</v>
      </c>
      <c r="X260">
        <f t="shared" ref="X260:AA260" si="22">AVERAGE(X257,X266)</f>
        <v>152.19999999999999</v>
      </c>
      <c r="Y260">
        <f t="shared" si="22"/>
        <v>161.5</v>
      </c>
      <c r="Z260">
        <f t="shared" si="22"/>
        <v>148.14999999999998</v>
      </c>
      <c r="AA260">
        <f t="shared" si="22"/>
        <v>151.25</v>
      </c>
      <c r="AB260">
        <f t="shared" si="16"/>
        <v>1804.1500000000003</v>
      </c>
      <c r="AD260">
        <v>148.4</v>
      </c>
      <c r="AE260">
        <f t="shared" si="17"/>
        <v>302.85000000000002</v>
      </c>
      <c r="AF260">
        <f t="shared" si="18"/>
        <v>1085.3</v>
      </c>
      <c r="AG260">
        <f t="shared" si="19"/>
        <v>3340.7000000000007</v>
      </c>
    </row>
    <row r="261" spans="1:33" hidden="1" x14ac:dyDescent="0.25">
      <c r="A261" t="s">
        <v>28</v>
      </c>
      <c r="B261">
        <v>2020</v>
      </c>
      <c r="C261" t="s">
        <v>32</v>
      </c>
      <c r="D261">
        <v>151.80000000000001</v>
      </c>
      <c r="E261">
        <f>AVERAGE(E258,E267)</f>
        <v>182.25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f t="shared" si="20"/>
        <v>160.39999999999998</v>
      </c>
      <c r="P261">
        <f t="shared" si="20"/>
        <v>180</v>
      </c>
      <c r="Q261">
        <f t="shared" ref="Q261:R261" si="23">AVERAGE(Q258,Q267)</f>
        <v>148.39999999999998</v>
      </c>
      <c r="R261">
        <f t="shared" si="23"/>
        <v>135.19999999999999</v>
      </c>
      <c r="S261">
        <v>155.6</v>
      </c>
      <c r="T261">
        <v>137.1</v>
      </c>
      <c r="U261">
        <f>AVERAGE(U258,U267)</f>
        <v>140.60000000000002</v>
      </c>
      <c r="V261">
        <v>144.80000000000001</v>
      </c>
      <c r="W261">
        <f>AVERAGE(W258,W267)</f>
        <v>126.95</v>
      </c>
      <c r="X261">
        <f t="shared" ref="X261:AA261" si="24">AVERAGE(X258,X267)</f>
        <v>141.19999999999999</v>
      </c>
      <c r="Y261">
        <f t="shared" si="24"/>
        <v>152.5</v>
      </c>
      <c r="Z261">
        <f t="shared" si="24"/>
        <v>148.75</v>
      </c>
      <c r="AA261">
        <f t="shared" si="24"/>
        <v>149.05000000000001</v>
      </c>
      <c r="AB261">
        <f t="shared" si="16"/>
        <v>1825.85</v>
      </c>
      <c r="AC261">
        <v>155.6</v>
      </c>
      <c r="AD261">
        <v>137.1</v>
      </c>
      <c r="AE261">
        <f t="shared" si="17"/>
        <v>283.59999999999997</v>
      </c>
      <c r="AF261">
        <f t="shared" si="18"/>
        <v>1034.8</v>
      </c>
      <c r="AG261">
        <f t="shared" si="19"/>
        <v>3436.95</v>
      </c>
    </row>
    <row r="262" spans="1:33" hidden="1" x14ac:dyDescent="0.25">
      <c r="A262" t="s">
        <v>29</v>
      </c>
      <c r="B262">
        <v>2020</v>
      </c>
      <c r="C262" t="s">
        <v>32</v>
      </c>
      <c r="D262">
        <v>148.69999999999999</v>
      </c>
      <c r="E262">
        <f>AVERAGE(E259,E268)</f>
        <v>179.85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f t="shared" si="20"/>
        <v>160.69999999999999</v>
      </c>
      <c r="P262">
        <f t="shared" si="20"/>
        <v>177.35</v>
      </c>
      <c r="Q262">
        <f t="shared" ref="Q262:R262" si="25">AVERAGE(Q259,Q268)</f>
        <v>151.85</v>
      </c>
      <c r="R262">
        <f t="shared" si="25"/>
        <v>143.15</v>
      </c>
      <c r="S262">
        <v>155.6</v>
      </c>
      <c r="T262">
        <v>144.1</v>
      </c>
      <c r="U262">
        <f>AVERAGE(U259,U268)</f>
        <v>146.4</v>
      </c>
      <c r="V262">
        <v>150.69999999999999</v>
      </c>
      <c r="W262">
        <f>AVERAGE(W259,W268)</f>
        <v>132.44999999999999</v>
      </c>
      <c r="X262">
        <f t="shared" ref="X262:AA262" si="26">AVERAGE(X259,X268)</f>
        <v>146</v>
      </c>
      <c r="Y262">
        <f t="shared" si="26"/>
        <v>156.25</v>
      </c>
      <c r="Z262">
        <f t="shared" si="26"/>
        <v>148.39999999999998</v>
      </c>
      <c r="AA262">
        <f t="shared" si="26"/>
        <v>150.19999999999999</v>
      </c>
      <c r="AB262">
        <f t="shared" si="16"/>
        <v>1811.85</v>
      </c>
      <c r="AC262">
        <v>155.6</v>
      </c>
      <c r="AD262">
        <v>144.1</v>
      </c>
      <c r="AE262">
        <f t="shared" si="17"/>
        <v>295</v>
      </c>
      <c r="AF262">
        <f t="shared" si="18"/>
        <v>1057.55</v>
      </c>
      <c r="AG262">
        <f t="shared" si="19"/>
        <v>3464.0999999999995</v>
      </c>
    </row>
    <row r="263" spans="1:33" hidden="1" x14ac:dyDescent="0.25">
      <c r="A263" t="s">
        <v>26</v>
      </c>
      <c r="B263">
        <v>2020</v>
      </c>
      <c r="C263" t="s">
        <v>33</v>
      </c>
      <c r="D263">
        <f>AVERAGE(D260,D266)</f>
        <v>147.69999999999999</v>
      </c>
      <c r="E263">
        <f>AVERAGE(E257,E266)</f>
        <v>178.55</v>
      </c>
      <c r="F263">
        <f>AVERAGE(F260,F266)</f>
        <v>148.15</v>
      </c>
      <c r="G263">
        <f t="shared" ref="G263:N263" si="27">AVERAGE(G260,G266)</f>
        <v>154.44999999999999</v>
      </c>
      <c r="H263">
        <f t="shared" si="27"/>
        <v>137.64999999999998</v>
      </c>
      <c r="I263">
        <f t="shared" si="27"/>
        <v>145.25</v>
      </c>
      <c r="J263">
        <f t="shared" si="27"/>
        <v>155.80000000000001</v>
      </c>
      <c r="K263">
        <f t="shared" si="27"/>
        <v>150.25</v>
      </c>
      <c r="L263">
        <f t="shared" si="27"/>
        <v>116.5</v>
      </c>
      <c r="M263">
        <f t="shared" si="27"/>
        <v>159.25</v>
      </c>
      <c r="N263">
        <f t="shared" si="27"/>
        <v>140.64999999999998</v>
      </c>
      <c r="O263">
        <f t="shared" ref="O263:P265" si="28">AVERAGE(O257,O266)</f>
        <v>160.9</v>
      </c>
      <c r="P263">
        <f t="shared" si="28"/>
        <v>176.45</v>
      </c>
      <c r="Q263">
        <f t="shared" ref="Q263:R263" si="29">AVERAGE(Q257,Q266)</f>
        <v>154.05000000000001</v>
      </c>
      <c r="R263">
        <f t="shared" si="29"/>
        <v>148.80000000000001</v>
      </c>
      <c r="T263">
        <f>AVERAGE(T260,T266)</f>
        <v>146.65</v>
      </c>
      <c r="U263">
        <f>AVERAGE(U257,U266)</f>
        <v>151.6</v>
      </c>
      <c r="V263">
        <f>AVERAGE(V260,V266)</f>
        <v>156.25</v>
      </c>
      <c r="W263">
        <v>146.4</v>
      </c>
      <c r="X263">
        <f t="shared" ref="X263:AA263" si="30">AVERAGE(X257,X266)</f>
        <v>152.19999999999999</v>
      </c>
      <c r="Y263">
        <f t="shared" si="30"/>
        <v>161.5</v>
      </c>
      <c r="Z263">
        <f t="shared" si="30"/>
        <v>148.14999999999998</v>
      </c>
      <c r="AA263">
        <f t="shared" si="30"/>
        <v>151.25</v>
      </c>
      <c r="AB263">
        <f t="shared" si="16"/>
        <v>1795.1</v>
      </c>
      <c r="AD263">
        <f>AVERAGE(AD260,AD266)</f>
        <v>146.65</v>
      </c>
      <c r="AE263">
        <f t="shared" si="17"/>
        <v>302.85000000000002</v>
      </c>
      <c r="AF263">
        <f t="shared" si="18"/>
        <v>1092.55</v>
      </c>
      <c r="AG263">
        <f t="shared" si="19"/>
        <v>3337.1499999999996</v>
      </c>
    </row>
    <row r="264" spans="1:33" hidden="1" x14ac:dyDescent="0.25">
      <c r="A264" t="s">
        <v>28</v>
      </c>
      <c r="B264">
        <v>2020</v>
      </c>
      <c r="C264" t="s">
        <v>33</v>
      </c>
      <c r="D264">
        <f>AVERAGE(D261,D267)</f>
        <v>152.25</v>
      </c>
      <c r="E264">
        <f>AVERAGE(E258,E267)</f>
        <v>182.25</v>
      </c>
      <c r="F264">
        <f>AVERAGE(F261,F267)</f>
        <v>153.25</v>
      </c>
      <c r="G264">
        <f t="shared" ref="G264:N264" si="31">AVERAGE(G261,G267)</f>
        <v>154.44999999999999</v>
      </c>
      <c r="H264">
        <f t="shared" si="31"/>
        <v>132.25</v>
      </c>
      <c r="I264">
        <f t="shared" si="31"/>
        <v>152.35000000000002</v>
      </c>
      <c r="J264">
        <f t="shared" si="31"/>
        <v>175.6</v>
      </c>
      <c r="K264">
        <f t="shared" si="31"/>
        <v>151.4</v>
      </c>
      <c r="L264">
        <f t="shared" si="31"/>
        <v>118.75</v>
      </c>
      <c r="M264">
        <f t="shared" si="31"/>
        <v>156.4</v>
      </c>
      <c r="N264">
        <f t="shared" si="31"/>
        <v>134.55000000000001</v>
      </c>
      <c r="O264">
        <f t="shared" si="28"/>
        <v>160.39999999999998</v>
      </c>
      <c r="P264">
        <f t="shared" si="28"/>
        <v>180</v>
      </c>
      <c r="Q264">
        <f t="shared" ref="Q264:R264" si="32">AVERAGE(Q258,Q267)</f>
        <v>148.39999999999998</v>
      </c>
      <c r="R264">
        <f t="shared" si="32"/>
        <v>135.19999999999999</v>
      </c>
      <c r="S264">
        <f>AVERAGE(S261,S267)</f>
        <v>155.14999999999998</v>
      </c>
      <c r="T264">
        <f>AVERAGE(T261,T267)</f>
        <v>137.1</v>
      </c>
      <c r="U264">
        <f>AVERAGE(U258,U267)</f>
        <v>140.60000000000002</v>
      </c>
      <c r="V264">
        <f>AVERAGE(V261,V267)</f>
        <v>146.44999999999999</v>
      </c>
      <c r="W264">
        <f>AVERAGE(W258,W267)</f>
        <v>126.95</v>
      </c>
      <c r="X264">
        <f t="shared" ref="X264:AA264" si="33">AVERAGE(X258,X267)</f>
        <v>141.19999999999999</v>
      </c>
      <c r="Y264">
        <f t="shared" si="33"/>
        <v>152.5</v>
      </c>
      <c r="Z264">
        <f t="shared" si="33"/>
        <v>148.75</v>
      </c>
      <c r="AA264">
        <f t="shared" si="33"/>
        <v>149.05000000000001</v>
      </c>
      <c r="AB264">
        <f t="shared" si="16"/>
        <v>1823.9</v>
      </c>
      <c r="AC264">
        <f>AVERAGE(AC261,AC267)</f>
        <v>155.14999999999998</v>
      </c>
      <c r="AD264">
        <f>AVERAGE(AD261,AD267)</f>
        <v>137.1</v>
      </c>
      <c r="AE264">
        <f t="shared" si="17"/>
        <v>283.59999999999997</v>
      </c>
      <c r="AF264">
        <f t="shared" si="18"/>
        <v>1036.45</v>
      </c>
      <c r="AG264">
        <f t="shared" si="19"/>
        <v>3436.2</v>
      </c>
    </row>
    <row r="265" spans="1:33" hidden="1" x14ac:dyDescent="0.25">
      <c r="A265" t="s">
        <v>29</v>
      </c>
      <c r="B265">
        <v>2020</v>
      </c>
      <c r="C265" t="s">
        <v>33</v>
      </c>
      <c r="D265">
        <f>AVERAGE(D262,D268)</f>
        <v>149.14999999999998</v>
      </c>
      <c r="E265">
        <f>AVERAGE(E259,E268)</f>
        <v>179.85</v>
      </c>
      <c r="F265">
        <f>AVERAGE(F262,F268)</f>
        <v>150.10000000000002</v>
      </c>
      <c r="G265">
        <f t="shared" ref="G265:N265" si="34">AVERAGE(G262,G268)</f>
        <v>154.44999999999999</v>
      </c>
      <c r="H265">
        <f t="shared" si="34"/>
        <v>135.69999999999999</v>
      </c>
      <c r="I265">
        <f t="shared" si="34"/>
        <v>148.55000000000001</v>
      </c>
      <c r="J265">
        <f t="shared" si="34"/>
        <v>162.55000000000001</v>
      </c>
      <c r="K265">
        <f t="shared" si="34"/>
        <v>150.65</v>
      </c>
      <c r="L265">
        <f t="shared" si="34"/>
        <v>117.25</v>
      </c>
      <c r="M265">
        <f t="shared" si="34"/>
        <v>158.30000000000001</v>
      </c>
      <c r="N265">
        <f t="shared" si="34"/>
        <v>138.10000000000002</v>
      </c>
      <c r="O265">
        <f t="shared" si="28"/>
        <v>160.69999999999999</v>
      </c>
      <c r="P265">
        <f t="shared" si="28"/>
        <v>177.35</v>
      </c>
      <c r="Q265">
        <f t="shared" ref="Q265:R265" si="35">AVERAGE(Q259,Q268)</f>
        <v>151.85</v>
      </c>
      <c r="R265">
        <f t="shared" si="35"/>
        <v>143.15</v>
      </c>
      <c r="S265">
        <f t="shared" ref="S265:V265" si="36">AVERAGE(S262,S268)</f>
        <v>155.14999999999998</v>
      </c>
      <c r="T265">
        <f t="shared" si="36"/>
        <v>143</v>
      </c>
      <c r="U265">
        <f>AVERAGE(U259,U268)</f>
        <v>146.4</v>
      </c>
      <c r="V265">
        <f t="shared" si="36"/>
        <v>152.55000000000001</v>
      </c>
      <c r="W265">
        <f>AVERAGE(W259,W268)</f>
        <v>132.44999999999999</v>
      </c>
      <c r="X265">
        <f t="shared" ref="X265:AA265" si="37">AVERAGE(X259,X268)</f>
        <v>146</v>
      </c>
      <c r="Y265">
        <f t="shared" si="37"/>
        <v>156.25</v>
      </c>
      <c r="Z265">
        <f t="shared" si="37"/>
        <v>148.39999999999998</v>
      </c>
      <c r="AA265">
        <f t="shared" si="37"/>
        <v>150.19999999999999</v>
      </c>
      <c r="AB265">
        <f t="shared" si="16"/>
        <v>1805.3500000000001</v>
      </c>
      <c r="AC265">
        <f t="shared" ref="AC265:AD265" si="38">AVERAGE(AC262,AC268)</f>
        <v>155.14999999999998</v>
      </c>
      <c r="AD265">
        <f t="shared" si="38"/>
        <v>143</v>
      </c>
      <c r="AE265">
        <f t="shared" si="17"/>
        <v>295</v>
      </c>
      <c r="AF265">
        <f t="shared" si="18"/>
        <v>1059.4000000000001</v>
      </c>
      <c r="AG265">
        <f t="shared" si="19"/>
        <v>3457.9</v>
      </c>
    </row>
    <row r="266" spans="1:33" hidden="1" x14ac:dyDescent="0.25">
      <c r="A266" t="s">
        <v>26</v>
      </c>
      <c r="B266">
        <v>2020</v>
      </c>
      <c r="C266" t="s">
        <v>34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182.4</v>
      </c>
      <c r="Q266">
        <v>154.69999999999999</v>
      </c>
      <c r="R266">
        <v>150</v>
      </c>
      <c r="T266">
        <v>144.9</v>
      </c>
      <c r="U266">
        <v>151.69999999999999</v>
      </c>
      <c r="V266">
        <v>158.19999999999999</v>
      </c>
      <c r="W266">
        <v>146.4</v>
      </c>
      <c r="X266">
        <v>153.19999999999999</v>
      </c>
      <c r="Y266">
        <v>161.80000000000001</v>
      </c>
      <c r="Z266">
        <v>151.19999999999999</v>
      </c>
      <c r="AA266">
        <v>152.69999999999999</v>
      </c>
      <c r="AB266">
        <f t="shared" si="16"/>
        <v>1798.7</v>
      </c>
      <c r="AD266">
        <v>144.9</v>
      </c>
      <c r="AE266">
        <f t="shared" si="17"/>
        <v>304.7</v>
      </c>
      <c r="AF266">
        <f t="shared" si="18"/>
        <v>1104.9000000000001</v>
      </c>
      <c r="AG266">
        <f t="shared" si="19"/>
        <v>3353.2000000000003</v>
      </c>
    </row>
    <row r="267" spans="1:33" hidden="1" x14ac:dyDescent="0.25">
      <c r="A267" t="s">
        <v>28</v>
      </c>
      <c r="B267">
        <v>2020</v>
      </c>
      <c r="C267" t="s">
        <v>34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186.7</v>
      </c>
      <c r="Q267">
        <v>149.1</v>
      </c>
      <c r="R267">
        <v>136.6</v>
      </c>
      <c r="S267">
        <v>154.69999999999999</v>
      </c>
      <c r="T267">
        <v>137.1</v>
      </c>
      <c r="U267">
        <v>140.4</v>
      </c>
      <c r="V267">
        <v>148.1</v>
      </c>
      <c r="W267">
        <v>129.30000000000001</v>
      </c>
      <c r="X267">
        <v>144.5</v>
      </c>
      <c r="Y267">
        <v>152.5</v>
      </c>
      <c r="Z267">
        <v>152.19999999999999</v>
      </c>
      <c r="AA267">
        <v>150.80000000000001</v>
      </c>
      <c r="AB267">
        <f t="shared" si="16"/>
        <v>1837.9999999999998</v>
      </c>
      <c r="AC267">
        <v>154.69999999999999</v>
      </c>
      <c r="AD267">
        <v>137.1</v>
      </c>
      <c r="AE267">
        <f t="shared" si="17"/>
        <v>285.7</v>
      </c>
      <c r="AF267">
        <f t="shared" si="18"/>
        <v>1053.7</v>
      </c>
      <c r="AG267">
        <f t="shared" si="19"/>
        <v>3469.2</v>
      </c>
    </row>
    <row r="268" spans="1:33" hidden="1" x14ac:dyDescent="0.25">
      <c r="A268" t="s">
        <v>29</v>
      </c>
      <c r="B268">
        <v>2020</v>
      </c>
      <c r="C268" t="s">
        <v>34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183.5</v>
      </c>
      <c r="Q268">
        <v>152.5</v>
      </c>
      <c r="R268">
        <v>144.4</v>
      </c>
      <c r="S268">
        <v>154.69999999999999</v>
      </c>
      <c r="T268">
        <v>141.9</v>
      </c>
      <c r="U268">
        <v>146.4</v>
      </c>
      <c r="V268">
        <v>154.4</v>
      </c>
      <c r="W268">
        <v>135</v>
      </c>
      <c r="X268">
        <v>148.30000000000001</v>
      </c>
      <c r="Y268">
        <v>156.4</v>
      </c>
      <c r="Z268">
        <v>151.6</v>
      </c>
      <c r="AA268">
        <v>151.80000000000001</v>
      </c>
      <c r="AB268">
        <f t="shared" si="16"/>
        <v>1812.8000000000002</v>
      </c>
      <c r="AC268">
        <v>154.69999999999999</v>
      </c>
      <c r="AD268">
        <v>141.9</v>
      </c>
      <c r="AE268">
        <f t="shared" si="17"/>
        <v>296.89999999999998</v>
      </c>
      <c r="AF268">
        <f t="shared" si="18"/>
        <v>1075.5999999999999</v>
      </c>
      <c r="AG268">
        <f t="shared" si="19"/>
        <v>3481.9</v>
      </c>
    </row>
    <row r="269" spans="1:33" hidden="1" x14ac:dyDescent="0.25">
      <c r="A269" t="s">
        <v>26</v>
      </c>
      <c r="B269">
        <v>2020</v>
      </c>
      <c r="C269" t="s">
        <v>35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182.4</v>
      </c>
      <c r="Q269">
        <v>154.69999999999999</v>
      </c>
      <c r="R269">
        <v>150</v>
      </c>
      <c r="T269">
        <v>144.9</v>
      </c>
      <c r="U269">
        <v>151.69999999999999</v>
      </c>
      <c r="V269">
        <v>158.19999999999999</v>
      </c>
      <c r="W269">
        <v>141.4</v>
      </c>
      <c r="X269">
        <v>153.19999999999999</v>
      </c>
      <c r="Y269">
        <v>161.80000000000001</v>
      </c>
      <c r="Z269">
        <v>151.19999999999999</v>
      </c>
      <c r="AA269">
        <v>152.69999999999999</v>
      </c>
      <c r="AB269">
        <f t="shared" si="16"/>
        <v>1798.7</v>
      </c>
      <c r="AD269">
        <v>144.9</v>
      </c>
      <c r="AE269">
        <f t="shared" si="17"/>
        <v>304.7</v>
      </c>
      <c r="AF269">
        <f t="shared" si="18"/>
        <v>1099.9000000000001</v>
      </c>
      <c r="AG269">
        <f t="shared" si="19"/>
        <v>3348.2000000000003</v>
      </c>
    </row>
    <row r="270" spans="1:33" hidden="1" x14ac:dyDescent="0.25">
      <c r="A270" t="s">
        <v>28</v>
      </c>
      <c r="B270">
        <v>2020</v>
      </c>
      <c r="C270" t="s">
        <v>35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186.7</v>
      </c>
      <c r="Q270">
        <v>149.1</v>
      </c>
      <c r="R270">
        <v>136.6</v>
      </c>
      <c r="S270">
        <v>154.69999999999999</v>
      </c>
      <c r="T270">
        <v>137.1</v>
      </c>
      <c r="U270">
        <v>140.4</v>
      </c>
      <c r="V270">
        <v>148.1</v>
      </c>
      <c r="W270">
        <v>129.30000000000001</v>
      </c>
      <c r="X270">
        <v>144.5</v>
      </c>
      <c r="Y270">
        <v>152.5</v>
      </c>
      <c r="Z270">
        <v>152.19999999999999</v>
      </c>
      <c r="AA270">
        <v>150.80000000000001</v>
      </c>
      <c r="AB270">
        <f t="shared" si="16"/>
        <v>1837.9999999999998</v>
      </c>
      <c r="AC270">
        <v>154.69999999999999</v>
      </c>
      <c r="AD270">
        <v>137.1</v>
      </c>
      <c r="AE270">
        <f t="shared" si="17"/>
        <v>285.7</v>
      </c>
      <c r="AF270">
        <f t="shared" si="18"/>
        <v>1053.7</v>
      </c>
      <c r="AG270">
        <f t="shared" si="19"/>
        <v>3469.2</v>
      </c>
    </row>
    <row r="271" spans="1:33" hidden="1" x14ac:dyDescent="0.25">
      <c r="A271" t="s">
        <v>29</v>
      </c>
      <c r="B271">
        <v>2020</v>
      </c>
      <c r="C271" t="s">
        <v>35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183.5</v>
      </c>
      <c r="Q271">
        <v>152.5</v>
      </c>
      <c r="R271">
        <v>144.4</v>
      </c>
      <c r="S271">
        <v>154.69999999999999</v>
      </c>
      <c r="T271">
        <v>141.9</v>
      </c>
      <c r="U271">
        <v>146.4</v>
      </c>
      <c r="V271">
        <v>154.4</v>
      </c>
      <c r="W271">
        <v>135</v>
      </c>
      <c r="X271">
        <v>148.30000000000001</v>
      </c>
      <c r="Y271">
        <v>156.4</v>
      </c>
      <c r="Z271">
        <v>151.6</v>
      </c>
      <c r="AA271">
        <v>151.80000000000001</v>
      </c>
      <c r="AB271">
        <f t="shared" si="16"/>
        <v>1812.8000000000002</v>
      </c>
      <c r="AC271">
        <v>154.69999999999999</v>
      </c>
      <c r="AD271">
        <v>141.9</v>
      </c>
      <c r="AE271">
        <f t="shared" si="17"/>
        <v>296.89999999999998</v>
      </c>
      <c r="AF271">
        <f t="shared" si="18"/>
        <v>1075.5999999999999</v>
      </c>
      <c r="AG271">
        <f t="shared" si="19"/>
        <v>3481.9</v>
      </c>
    </row>
    <row r="272" spans="1:33" hidden="1" x14ac:dyDescent="0.25">
      <c r="A272" t="s">
        <v>26</v>
      </c>
      <c r="B272">
        <v>2020</v>
      </c>
      <c r="C272" t="s">
        <v>36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180.9</v>
      </c>
      <c r="Q272">
        <v>155.1</v>
      </c>
      <c r="R272">
        <v>149.30000000000001</v>
      </c>
      <c r="T272">
        <v>145.80000000000001</v>
      </c>
      <c r="U272">
        <v>151.9</v>
      </c>
      <c r="V272">
        <v>158.80000000000001</v>
      </c>
      <c r="W272">
        <v>143.6</v>
      </c>
      <c r="X272">
        <v>152.19999999999999</v>
      </c>
      <c r="Y272">
        <v>162.69999999999999</v>
      </c>
      <c r="Z272">
        <v>153.6</v>
      </c>
      <c r="AA272">
        <v>154.69999999999999</v>
      </c>
      <c r="AB272">
        <f t="shared" si="16"/>
        <v>1823.3</v>
      </c>
      <c r="AD272">
        <v>145.80000000000001</v>
      </c>
      <c r="AE272">
        <f t="shared" si="17"/>
        <v>304.39999999999998</v>
      </c>
      <c r="AF272">
        <f t="shared" si="18"/>
        <v>1103.7</v>
      </c>
      <c r="AG272">
        <f t="shared" si="19"/>
        <v>3377.2</v>
      </c>
    </row>
    <row r="273" spans="1:33" hidden="1" x14ac:dyDescent="0.25">
      <c r="A273" t="s">
        <v>28</v>
      </c>
      <c r="B273">
        <v>2020</v>
      </c>
      <c r="C273" t="s">
        <v>36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187.2</v>
      </c>
      <c r="Q273">
        <v>150</v>
      </c>
      <c r="R273">
        <v>135.19999999999999</v>
      </c>
      <c r="S273">
        <v>155.5</v>
      </c>
      <c r="T273">
        <v>138.30000000000001</v>
      </c>
      <c r="U273">
        <v>144.5</v>
      </c>
      <c r="V273">
        <v>148.69999999999999</v>
      </c>
      <c r="W273">
        <v>133.9</v>
      </c>
      <c r="X273">
        <v>141.19999999999999</v>
      </c>
      <c r="Y273">
        <v>155.5</v>
      </c>
      <c r="Z273">
        <v>155.19999999999999</v>
      </c>
      <c r="AA273">
        <v>152.9</v>
      </c>
      <c r="AB273">
        <f t="shared" si="16"/>
        <v>1864.9999999999998</v>
      </c>
      <c r="AC273">
        <v>155.5</v>
      </c>
      <c r="AD273">
        <v>138.30000000000001</v>
      </c>
      <c r="AE273">
        <f t="shared" si="17"/>
        <v>285.2</v>
      </c>
      <c r="AF273">
        <f t="shared" si="18"/>
        <v>1066.2</v>
      </c>
      <c r="AG273">
        <f t="shared" si="19"/>
        <v>3510.2</v>
      </c>
    </row>
    <row r="274" spans="1:33" hidden="1" x14ac:dyDescent="0.25">
      <c r="A274" t="s">
        <v>29</v>
      </c>
      <c r="B274">
        <v>2020</v>
      </c>
      <c r="C274" t="s">
        <v>36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182.6</v>
      </c>
      <c r="Q274">
        <v>153.1</v>
      </c>
      <c r="R274">
        <v>143.4</v>
      </c>
      <c r="S274">
        <v>155.5</v>
      </c>
      <c r="T274">
        <v>143</v>
      </c>
      <c r="U274">
        <v>148.4</v>
      </c>
      <c r="V274">
        <v>155</v>
      </c>
      <c r="W274">
        <v>138.5</v>
      </c>
      <c r="X274">
        <v>146</v>
      </c>
      <c r="Y274">
        <v>158.5</v>
      </c>
      <c r="Z274">
        <v>154.30000000000001</v>
      </c>
      <c r="AA274">
        <v>153.9</v>
      </c>
      <c r="AB274">
        <f t="shared" si="16"/>
        <v>1838.1999999999998</v>
      </c>
      <c r="AC274">
        <v>155.5</v>
      </c>
      <c r="AD274">
        <v>143</v>
      </c>
      <c r="AE274">
        <f t="shared" si="17"/>
        <v>296.5</v>
      </c>
      <c r="AF274">
        <f t="shared" si="18"/>
        <v>1083.3</v>
      </c>
      <c r="AG274">
        <f t="shared" si="19"/>
        <v>3516.5</v>
      </c>
    </row>
    <row r="275" spans="1:33" hidden="1" x14ac:dyDescent="0.25">
      <c r="A275" t="s">
        <v>26</v>
      </c>
      <c r="B275">
        <v>2020</v>
      </c>
      <c r="C275" t="s">
        <v>37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182.9</v>
      </c>
      <c r="Q275">
        <v>155.4</v>
      </c>
      <c r="R275">
        <v>149.9</v>
      </c>
      <c r="T275">
        <v>146.4</v>
      </c>
      <c r="U275">
        <v>151.6</v>
      </c>
      <c r="V275">
        <v>159.1</v>
      </c>
      <c r="W275">
        <v>144.6</v>
      </c>
      <c r="X275">
        <v>152.80000000000001</v>
      </c>
      <c r="Y275">
        <v>161.1</v>
      </c>
      <c r="Z275">
        <v>157.4</v>
      </c>
      <c r="AA275">
        <v>155.4</v>
      </c>
      <c r="AB275">
        <f t="shared" si="16"/>
        <v>1831.3</v>
      </c>
      <c r="AD275">
        <v>146.4</v>
      </c>
      <c r="AE275">
        <f t="shared" si="17"/>
        <v>305.3</v>
      </c>
      <c r="AF275">
        <f t="shared" si="18"/>
        <v>1109.5</v>
      </c>
      <c r="AG275">
        <f t="shared" si="19"/>
        <v>3392.5</v>
      </c>
    </row>
    <row r="276" spans="1:33" hidden="1" x14ac:dyDescent="0.25">
      <c r="A276" t="s">
        <v>28</v>
      </c>
      <c r="B276">
        <v>2020</v>
      </c>
      <c r="C276" t="s">
        <v>37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188.7</v>
      </c>
      <c r="Q276">
        <v>150.19999999999999</v>
      </c>
      <c r="R276">
        <v>136.30000000000001</v>
      </c>
      <c r="S276">
        <v>156.30000000000001</v>
      </c>
      <c r="T276">
        <v>137.19999999999999</v>
      </c>
      <c r="U276">
        <v>145.4</v>
      </c>
      <c r="V276">
        <v>150</v>
      </c>
      <c r="W276">
        <v>135.1</v>
      </c>
      <c r="X276">
        <v>141.80000000000001</v>
      </c>
      <c r="Y276">
        <v>154.9</v>
      </c>
      <c r="Z276">
        <v>159.80000000000001</v>
      </c>
      <c r="AA276">
        <v>154</v>
      </c>
      <c r="AB276">
        <f t="shared" si="16"/>
        <v>1880.3000000000002</v>
      </c>
      <c r="AC276">
        <v>156.30000000000001</v>
      </c>
      <c r="AD276">
        <v>137.19999999999999</v>
      </c>
      <c r="AE276">
        <f t="shared" si="17"/>
        <v>286.5</v>
      </c>
      <c r="AF276">
        <f t="shared" si="18"/>
        <v>1075.7</v>
      </c>
      <c r="AG276">
        <f t="shared" si="19"/>
        <v>3536</v>
      </c>
    </row>
    <row r="277" spans="1:33" hidden="1" x14ac:dyDescent="0.25">
      <c r="A277" t="s">
        <v>29</v>
      </c>
      <c r="B277">
        <v>2020</v>
      </c>
      <c r="C277" t="s">
        <v>37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184.4</v>
      </c>
      <c r="Q277">
        <v>153.4</v>
      </c>
      <c r="R277">
        <v>144.30000000000001</v>
      </c>
      <c r="S277">
        <v>156.30000000000001</v>
      </c>
      <c r="T277">
        <v>142.9</v>
      </c>
      <c r="U277">
        <v>148.69999999999999</v>
      </c>
      <c r="V277">
        <v>155.6</v>
      </c>
      <c r="W277">
        <v>139.6</v>
      </c>
      <c r="X277">
        <v>146.6</v>
      </c>
      <c r="Y277">
        <v>157.5</v>
      </c>
      <c r="Z277">
        <v>158.4</v>
      </c>
      <c r="AA277">
        <v>154.69999999999999</v>
      </c>
      <c r="AB277">
        <f t="shared" si="16"/>
        <v>1849</v>
      </c>
      <c r="AC277">
        <v>156.30000000000001</v>
      </c>
      <c r="AD277">
        <v>142.9</v>
      </c>
      <c r="AE277">
        <f t="shared" si="17"/>
        <v>297.70000000000005</v>
      </c>
      <c r="AF277">
        <f t="shared" si="18"/>
        <v>1090.8</v>
      </c>
      <c r="AG277">
        <f t="shared" si="19"/>
        <v>3536.7</v>
      </c>
    </row>
    <row r="278" spans="1:33" hidden="1" x14ac:dyDescent="0.25">
      <c r="A278" t="s">
        <v>26</v>
      </c>
      <c r="B278">
        <v>2020</v>
      </c>
      <c r="C278" t="s">
        <v>38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182.7</v>
      </c>
      <c r="Q278">
        <v>155.69999999999999</v>
      </c>
      <c r="R278">
        <v>150.6</v>
      </c>
      <c r="T278">
        <v>146.80000000000001</v>
      </c>
      <c r="U278">
        <v>152</v>
      </c>
      <c r="V278">
        <v>159.5</v>
      </c>
      <c r="W278">
        <v>146.4</v>
      </c>
      <c r="X278">
        <v>152.4</v>
      </c>
      <c r="Y278">
        <v>162.5</v>
      </c>
      <c r="Z278">
        <v>156.19999999999999</v>
      </c>
      <c r="AA278">
        <v>157.5</v>
      </c>
      <c r="AB278">
        <f t="shared" si="16"/>
        <v>1871.3000000000002</v>
      </c>
      <c r="AD278">
        <v>146.80000000000001</v>
      </c>
      <c r="AE278">
        <f t="shared" si="17"/>
        <v>306.29999999999995</v>
      </c>
      <c r="AF278">
        <f t="shared" si="18"/>
        <v>1111.7</v>
      </c>
      <c r="AG278">
        <f t="shared" si="19"/>
        <v>3436.1000000000004</v>
      </c>
    </row>
    <row r="279" spans="1:33" hidden="1" x14ac:dyDescent="0.25">
      <c r="A279" t="s">
        <v>28</v>
      </c>
      <c r="B279">
        <v>2020</v>
      </c>
      <c r="C279" t="s">
        <v>38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188.7</v>
      </c>
      <c r="Q279">
        <v>150.5</v>
      </c>
      <c r="R279">
        <v>136.1</v>
      </c>
      <c r="S279">
        <v>156.5</v>
      </c>
      <c r="T279">
        <v>137.1</v>
      </c>
      <c r="U279">
        <v>145.1</v>
      </c>
      <c r="V279">
        <v>151</v>
      </c>
      <c r="W279">
        <v>135.4</v>
      </c>
      <c r="X279">
        <v>142</v>
      </c>
      <c r="Y279">
        <v>155.69999999999999</v>
      </c>
      <c r="Z279">
        <v>158.1</v>
      </c>
      <c r="AA279">
        <v>155.19999999999999</v>
      </c>
      <c r="AB279">
        <f t="shared" si="16"/>
        <v>1915.8</v>
      </c>
      <c r="AC279">
        <v>156.5</v>
      </c>
      <c r="AD279">
        <v>137.1</v>
      </c>
      <c r="AE279">
        <f t="shared" si="17"/>
        <v>286.60000000000002</v>
      </c>
      <c r="AF279">
        <f t="shared" si="18"/>
        <v>1076</v>
      </c>
      <c r="AG279">
        <f t="shared" si="19"/>
        <v>3572</v>
      </c>
    </row>
    <row r="280" spans="1:33" hidden="1" x14ac:dyDescent="0.25">
      <c r="A280" t="s">
        <v>29</v>
      </c>
      <c r="B280">
        <v>2020</v>
      </c>
      <c r="C280" t="s">
        <v>38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184.3</v>
      </c>
      <c r="Q280">
        <v>153.69999999999999</v>
      </c>
      <c r="R280">
        <v>144.6</v>
      </c>
      <c r="S280">
        <v>156.5</v>
      </c>
      <c r="T280">
        <v>143.1</v>
      </c>
      <c r="U280">
        <v>148.69999999999999</v>
      </c>
      <c r="V280">
        <v>156.30000000000001</v>
      </c>
      <c r="W280">
        <v>140.6</v>
      </c>
      <c r="X280">
        <v>146.5</v>
      </c>
      <c r="Y280">
        <v>158.5</v>
      </c>
      <c r="Z280">
        <v>157</v>
      </c>
      <c r="AA280">
        <v>156.4</v>
      </c>
      <c r="AB280">
        <f t="shared" si="16"/>
        <v>1887.2000000000003</v>
      </c>
      <c r="AC280">
        <v>156.5</v>
      </c>
      <c r="AD280">
        <v>143.1</v>
      </c>
      <c r="AE280">
        <f t="shared" si="17"/>
        <v>298.29999999999995</v>
      </c>
      <c r="AF280">
        <f t="shared" si="18"/>
        <v>1091.9000000000001</v>
      </c>
      <c r="AG280">
        <f t="shared" si="19"/>
        <v>3577.0000000000005</v>
      </c>
    </row>
    <row r="281" spans="1:33" hidden="1" x14ac:dyDescent="0.25">
      <c r="A281" t="s">
        <v>26</v>
      </c>
      <c r="B281">
        <v>2020</v>
      </c>
      <c r="C281" t="s">
        <v>40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183.4</v>
      </c>
      <c r="Q281">
        <v>156.30000000000001</v>
      </c>
      <c r="R281">
        <v>151</v>
      </c>
      <c r="T281">
        <v>147.5</v>
      </c>
      <c r="U281">
        <v>152.80000000000001</v>
      </c>
      <c r="V281">
        <v>160.4</v>
      </c>
      <c r="W281">
        <v>146.1</v>
      </c>
      <c r="X281">
        <v>153.6</v>
      </c>
      <c r="Y281">
        <v>161.6</v>
      </c>
      <c r="Z281">
        <v>156.19999999999999</v>
      </c>
      <c r="AA281">
        <v>159.80000000000001</v>
      </c>
      <c r="AB281">
        <f t="shared" si="16"/>
        <v>1919.0000000000002</v>
      </c>
      <c r="AD281">
        <v>147.5</v>
      </c>
      <c r="AE281">
        <f t="shared" si="17"/>
        <v>307.3</v>
      </c>
      <c r="AF281">
        <f t="shared" si="18"/>
        <v>1114.1000000000001</v>
      </c>
      <c r="AG281">
        <f t="shared" si="19"/>
        <v>3487.9000000000005</v>
      </c>
    </row>
    <row r="282" spans="1:33" hidden="1" x14ac:dyDescent="0.25">
      <c r="A282" t="s">
        <v>28</v>
      </c>
      <c r="B282">
        <v>2020</v>
      </c>
      <c r="C282" t="s">
        <v>40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188.8</v>
      </c>
      <c r="Q282">
        <v>151.1</v>
      </c>
      <c r="R282">
        <v>136.4</v>
      </c>
      <c r="S282">
        <v>158</v>
      </c>
      <c r="T282">
        <v>137.30000000000001</v>
      </c>
      <c r="U282">
        <v>145.1</v>
      </c>
      <c r="V282">
        <v>152</v>
      </c>
      <c r="W282">
        <v>135.19999999999999</v>
      </c>
      <c r="X282">
        <v>144.4</v>
      </c>
      <c r="Y282">
        <v>156.4</v>
      </c>
      <c r="Z282">
        <v>157.9</v>
      </c>
      <c r="AA282">
        <v>156.69999999999999</v>
      </c>
      <c r="AB282">
        <f t="shared" si="16"/>
        <v>1953.7</v>
      </c>
      <c r="AC282">
        <v>158</v>
      </c>
      <c r="AD282">
        <v>137.30000000000001</v>
      </c>
      <c r="AE282">
        <f t="shared" si="17"/>
        <v>287.5</v>
      </c>
      <c r="AF282">
        <f t="shared" si="18"/>
        <v>1079.8</v>
      </c>
      <c r="AG282">
        <f t="shared" si="19"/>
        <v>3616.3</v>
      </c>
    </row>
    <row r="283" spans="1:33" hidden="1" x14ac:dyDescent="0.25">
      <c r="A283" t="s">
        <v>29</v>
      </c>
      <c r="B283">
        <v>2020</v>
      </c>
      <c r="C283" t="s">
        <v>40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184.8</v>
      </c>
      <c r="Q283">
        <v>154.30000000000001</v>
      </c>
      <c r="R283">
        <v>144.9</v>
      </c>
      <c r="S283">
        <v>158</v>
      </c>
      <c r="T283">
        <v>143.6</v>
      </c>
      <c r="U283">
        <v>149.19999999999999</v>
      </c>
      <c r="V283">
        <v>157.19999999999999</v>
      </c>
      <c r="W283">
        <v>140.4</v>
      </c>
      <c r="X283">
        <v>148.4</v>
      </c>
      <c r="Y283">
        <v>158.6</v>
      </c>
      <c r="Z283">
        <v>156.9</v>
      </c>
      <c r="AA283">
        <v>158.4</v>
      </c>
      <c r="AB283">
        <f t="shared" si="16"/>
        <v>1930.9</v>
      </c>
      <c r="AC283">
        <v>158</v>
      </c>
      <c r="AD283">
        <v>143.6</v>
      </c>
      <c r="AE283">
        <f t="shared" si="17"/>
        <v>299.20000000000005</v>
      </c>
      <c r="AF283">
        <f t="shared" si="18"/>
        <v>1095.5</v>
      </c>
      <c r="AG283">
        <f t="shared" si="19"/>
        <v>3627.2</v>
      </c>
    </row>
    <row r="284" spans="1:33" hidden="1" x14ac:dyDescent="0.25">
      <c r="A284" t="s">
        <v>26</v>
      </c>
      <c r="B284">
        <v>2020</v>
      </c>
      <c r="C284" t="s">
        <v>41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183.6</v>
      </c>
      <c r="Q284">
        <v>157</v>
      </c>
      <c r="R284">
        <v>151.6</v>
      </c>
      <c r="T284">
        <v>148.69999999999999</v>
      </c>
      <c r="U284">
        <v>153.4</v>
      </c>
      <c r="V284">
        <v>161.6</v>
      </c>
      <c r="W284">
        <v>146.4</v>
      </c>
      <c r="X284">
        <v>153.9</v>
      </c>
      <c r="Y284">
        <v>162.9</v>
      </c>
      <c r="Z284">
        <v>156.6</v>
      </c>
      <c r="AA284">
        <v>160.69999999999999</v>
      </c>
      <c r="AB284">
        <f t="shared" si="16"/>
        <v>1936</v>
      </c>
      <c r="AD284">
        <v>148.69999999999999</v>
      </c>
      <c r="AE284">
        <f t="shared" si="17"/>
        <v>308.60000000000002</v>
      </c>
      <c r="AF284">
        <f t="shared" si="18"/>
        <v>1118.3999999999999</v>
      </c>
      <c r="AG284">
        <f t="shared" si="19"/>
        <v>3511.7</v>
      </c>
    </row>
    <row r="285" spans="1:33" hidden="1" x14ac:dyDescent="0.25">
      <c r="A285" t="s">
        <v>28</v>
      </c>
      <c r="B285">
        <v>2020</v>
      </c>
      <c r="C285" t="s">
        <v>41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190.2</v>
      </c>
      <c r="Q285">
        <v>151.9</v>
      </c>
      <c r="R285">
        <v>136.69999999999999</v>
      </c>
      <c r="S285">
        <v>158.4</v>
      </c>
      <c r="T285">
        <v>137.9</v>
      </c>
      <c r="U285">
        <v>145.5</v>
      </c>
      <c r="V285">
        <v>152.9</v>
      </c>
      <c r="W285">
        <v>135.5</v>
      </c>
      <c r="X285">
        <v>144.30000000000001</v>
      </c>
      <c r="Y285">
        <v>156.9</v>
      </c>
      <c r="Z285">
        <v>157.9</v>
      </c>
      <c r="AA285">
        <v>156.9</v>
      </c>
      <c r="AB285">
        <f t="shared" si="16"/>
        <v>1958.4</v>
      </c>
      <c r="AC285">
        <v>158.4</v>
      </c>
      <c r="AD285">
        <v>137.9</v>
      </c>
      <c r="AE285">
        <f t="shared" si="17"/>
        <v>288.60000000000002</v>
      </c>
      <c r="AF285">
        <f t="shared" si="18"/>
        <v>1083.2</v>
      </c>
      <c r="AG285">
        <f t="shared" si="19"/>
        <v>3626.5</v>
      </c>
    </row>
    <row r="286" spans="1:33" hidden="1" x14ac:dyDescent="0.25">
      <c r="A286" t="s">
        <v>29</v>
      </c>
      <c r="B286">
        <v>2020</v>
      </c>
      <c r="C286" t="s">
        <v>41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185.4</v>
      </c>
      <c r="Q286">
        <v>155</v>
      </c>
      <c r="R286">
        <v>145.4</v>
      </c>
      <c r="S286">
        <v>158.4</v>
      </c>
      <c r="T286">
        <v>144.6</v>
      </c>
      <c r="U286">
        <v>149.69999999999999</v>
      </c>
      <c r="V286">
        <v>158.30000000000001</v>
      </c>
      <c r="W286">
        <v>140.69999999999999</v>
      </c>
      <c r="X286">
        <v>148.5</v>
      </c>
      <c r="Y286">
        <v>159.4</v>
      </c>
      <c r="Z286">
        <v>157.1</v>
      </c>
      <c r="AA286">
        <v>158.9</v>
      </c>
      <c r="AB286">
        <f t="shared" si="16"/>
        <v>1943.7</v>
      </c>
      <c r="AC286">
        <v>158.4</v>
      </c>
      <c r="AD286">
        <v>144.6</v>
      </c>
      <c r="AE286">
        <f t="shared" si="17"/>
        <v>300.39999999999998</v>
      </c>
      <c r="AF286">
        <f t="shared" si="18"/>
        <v>1099.1000000000001</v>
      </c>
      <c r="AG286">
        <f t="shared" si="19"/>
        <v>3646.2</v>
      </c>
    </row>
    <row r="287" spans="1:33" hidden="1" x14ac:dyDescent="0.25">
      <c r="A287" t="s">
        <v>26</v>
      </c>
      <c r="B287">
        <v>2021</v>
      </c>
      <c r="C287" t="s">
        <v>27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184.6</v>
      </c>
      <c r="Q287">
        <v>157.5</v>
      </c>
      <c r="R287">
        <v>152.4</v>
      </c>
      <c r="T287">
        <v>150.9</v>
      </c>
      <c r="U287">
        <v>153.9</v>
      </c>
      <c r="V287">
        <v>162.5</v>
      </c>
      <c r="W287">
        <v>147.5</v>
      </c>
      <c r="X287">
        <v>155.1</v>
      </c>
      <c r="Y287">
        <v>163.5</v>
      </c>
      <c r="Z287">
        <v>156.19999999999999</v>
      </c>
      <c r="AA287">
        <v>158.5</v>
      </c>
      <c r="AB287">
        <f t="shared" si="16"/>
        <v>1906.0999999999997</v>
      </c>
      <c r="AD287">
        <v>150.9</v>
      </c>
      <c r="AE287">
        <f t="shared" si="17"/>
        <v>309.89999999999998</v>
      </c>
      <c r="AF287">
        <f t="shared" si="18"/>
        <v>1123.3</v>
      </c>
      <c r="AG287">
        <f t="shared" si="19"/>
        <v>3490.2</v>
      </c>
    </row>
    <row r="288" spans="1:33" hidden="1" x14ac:dyDescent="0.25">
      <c r="A288" t="s">
        <v>28</v>
      </c>
      <c r="B288">
        <v>2021</v>
      </c>
      <c r="C288" t="s">
        <v>27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191.8</v>
      </c>
      <c r="Q288">
        <v>152.5</v>
      </c>
      <c r="R288">
        <v>137.30000000000001</v>
      </c>
      <c r="S288">
        <v>157.69999999999999</v>
      </c>
      <c r="T288">
        <v>142.9</v>
      </c>
      <c r="U288">
        <v>145.69999999999999</v>
      </c>
      <c r="V288">
        <v>154.1</v>
      </c>
      <c r="W288">
        <v>136.9</v>
      </c>
      <c r="X288">
        <v>145.4</v>
      </c>
      <c r="Y288">
        <v>156.1</v>
      </c>
      <c r="Z288">
        <v>157.69999999999999</v>
      </c>
      <c r="AA288">
        <v>156</v>
      </c>
      <c r="AB288">
        <f t="shared" si="16"/>
        <v>1933.6000000000001</v>
      </c>
      <c r="AC288">
        <v>157.69999999999999</v>
      </c>
      <c r="AD288">
        <v>142.9</v>
      </c>
      <c r="AE288">
        <f t="shared" si="17"/>
        <v>289.8</v>
      </c>
      <c r="AF288">
        <f t="shared" si="18"/>
        <v>1087.6999999999998</v>
      </c>
      <c r="AG288">
        <f t="shared" si="19"/>
        <v>3611.7000000000003</v>
      </c>
    </row>
    <row r="289" spans="1:33" x14ac:dyDescent="0.25">
      <c r="A289" t="s">
        <v>29</v>
      </c>
      <c r="B289">
        <v>2021</v>
      </c>
      <c r="C289" t="s">
        <v>27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186.5</v>
      </c>
      <c r="Q289">
        <v>155.5</v>
      </c>
      <c r="R289">
        <v>146.1</v>
      </c>
      <c r="S289">
        <v>157.69999999999999</v>
      </c>
      <c r="T289">
        <v>147.9</v>
      </c>
      <c r="U289">
        <v>150</v>
      </c>
      <c r="V289">
        <v>159.30000000000001</v>
      </c>
      <c r="W289">
        <v>141.9</v>
      </c>
      <c r="X289">
        <v>149.6</v>
      </c>
      <c r="Y289">
        <v>159.19999999999999</v>
      </c>
      <c r="Z289">
        <v>156.80000000000001</v>
      </c>
      <c r="AA289">
        <v>157.30000000000001</v>
      </c>
      <c r="AB289">
        <f t="shared" si="16"/>
        <v>1915.4999999999998</v>
      </c>
      <c r="AC289">
        <v>157.69999999999999</v>
      </c>
      <c r="AD289">
        <v>147.9</v>
      </c>
      <c r="AE289">
        <f t="shared" si="17"/>
        <v>301.60000000000002</v>
      </c>
      <c r="AF289">
        <f t="shared" si="18"/>
        <v>1103.3</v>
      </c>
      <c r="AG289">
        <f t="shared" si="19"/>
        <v>3626</v>
      </c>
    </row>
    <row r="290" spans="1:33" hidden="1" x14ac:dyDescent="0.25">
      <c r="A290" t="s">
        <v>26</v>
      </c>
      <c r="B290">
        <v>2021</v>
      </c>
      <c r="C290" t="s">
        <v>30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186.5</v>
      </c>
      <c r="Q290">
        <v>159.1</v>
      </c>
      <c r="R290">
        <v>153.9</v>
      </c>
      <c r="T290">
        <v>154.4</v>
      </c>
      <c r="U290">
        <v>154.80000000000001</v>
      </c>
      <c r="V290">
        <v>164.3</v>
      </c>
      <c r="W290">
        <v>150.19999999999999</v>
      </c>
      <c r="X290">
        <v>157</v>
      </c>
      <c r="Y290">
        <v>163.6</v>
      </c>
      <c r="Z290">
        <v>155.19999999999999</v>
      </c>
      <c r="AA290">
        <v>156.69999999999999</v>
      </c>
      <c r="AB290">
        <f t="shared" si="16"/>
        <v>1870.6</v>
      </c>
      <c r="AD290">
        <v>154.4</v>
      </c>
      <c r="AE290">
        <f t="shared" si="17"/>
        <v>313</v>
      </c>
      <c r="AF290">
        <f t="shared" si="18"/>
        <v>1131.5999999999999</v>
      </c>
      <c r="AG290">
        <f t="shared" si="19"/>
        <v>3469.6</v>
      </c>
    </row>
    <row r="291" spans="1:33" hidden="1" x14ac:dyDescent="0.25">
      <c r="A291" t="s">
        <v>28</v>
      </c>
      <c r="B291">
        <v>2021</v>
      </c>
      <c r="C291" t="s">
        <v>30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193.3</v>
      </c>
      <c r="Q291">
        <v>154.19999999999999</v>
      </c>
      <c r="R291">
        <v>138.19999999999999</v>
      </c>
      <c r="S291">
        <v>159.80000000000001</v>
      </c>
      <c r="T291">
        <v>149.1</v>
      </c>
      <c r="U291">
        <v>146.5</v>
      </c>
      <c r="V291">
        <v>156.30000000000001</v>
      </c>
      <c r="W291">
        <v>140.5</v>
      </c>
      <c r="X291">
        <v>147.30000000000001</v>
      </c>
      <c r="Y291">
        <v>156.6</v>
      </c>
      <c r="Z291">
        <v>156.69999999999999</v>
      </c>
      <c r="AA291">
        <v>156.5</v>
      </c>
      <c r="AB291">
        <f t="shared" si="16"/>
        <v>1905.2</v>
      </c>
      <c r="AC291">
        <v>159.80000000000001</v>
      </c>
      <c r="AD291">
        <v>149.1</v>
      </c>
      <c r="AE291">
        <f t="shared" si="17"/>
        <v>292.39999999999998</v>
      </c>
      <c r="AF291">
        <f t="shared" si="18"/>
        <v>1097.2</v>
      </c>
      <c r="AG291">
        <f t="shared" si="19"/>
        <v>3603.7</v>
      </c>
    </row>
    <row r="292" spans="1:33" x14ac:dyDescent="0.25">
      <c r="A292" t="s">
        <v>29</v>
      </c>
      <c r="B292">
        <v>2021</v>
      </c>
      <c r="C292" t="s">
        <v>30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188.3</v>
      </c>
      <c r="Q292">
        <v>157.19999999999999</v>
      </c>
      <c r="R292">
        <v>147.4</v>
      </c>
      <c r="S292">
        <v>159.80000000000001</v>
      </c>
      <c r="T292">
        <v>152.4</v>
      </c>
      <c r="U292">
        <v>150.9</v>
      </c>
      <c r="V292">
        <v>161.30000000000001</v>
      </c>
      <c r="W292">
        <v>145.1</v>
      </c>
      <c r="X292">
        <v>151.5</v>
      </c>
      <c r="Y292">
        <v>159.5</v>
      </c>
      <c r="Z292">
        <v>155.80000000000001</v>
      </c>
      <c r="AA292">
        <v>156.6</v>
      </c>
      <c r="AB292">
        <f t="shared" si="16"/>
        <v>1882.4</v>
      </c>
      <c r="AC292">
        <v>159.80000000000001</v>
      </c>
      <c r="AD292">
        <v>152.4</v>
      </c>
      <c r="AE292">
        <f t="shared" si="17"/>
        <v>304.60000000000002</v>
      </c>
      <c r="AF292">
        <f t="shared" si="18"/>
        <v>1112.4000000000001</v>
      </c>
      <c r="AG292">
        <f t="shared" si="19"/>
        <v>3611.6</v>
      </c>
    </row>
    <row r="293" spans="1:33" hidden="1" x14ac:dyDescent="0.25">
      <c r="A293" t="s">
        <v>26</v>
      </c>
      <c r="B293">
        <v>2021</v>
      </c>
      <c r="C293" t="s">
        <v>31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186.1</v>
      </c>
      <c r="Q293">
        <v>159.6</v>
      </c>
      <c r="R293">
        <v>154.4</v>
      </c>
      <c r="T293">
        <v>156</v>
      </c>
      <c r="U293">
        <v>154.80000000000001</v>
      </c>
      <c r="V293">
        <v>164.6</v>
      </c>
      <c r="W293">
        <v>151.30000000000001</v>
      </c>
      <c r="X293">
        <v>157.80000000000001</v>
      </c>
      <c r="Y293">
        <v>163.80000000000001</v>
      </c>
      <c r="Z293">
        <v>153.1</v>
      </c>
      <c r="AA293">
        <v>156.69999999999999</v>
      </c>
      <c r="AB293">
        <f t="shared" si="16"/>
        <v>1871.2</v>
      </c>
      <c r="AD293">
        <v>156</v>
      </c>
      <c r="AE293">
        <f t="shared" si="17"/>
        <v>314</v>
      </c>
      <c r="AF293">
        <f t="shared" si="18"/>
        <v>1131.5</v>
      </c>
      <c r="AG293">
        <f t="shared" si="19"/>
        <v>3472.7</v>
      </c>
    </row>
    <row r="294" spans="1:33" hidden="1" x14ac:dyDescent="0.25">
      <c r="A294" t="s">
        <v>28</v>
      </c>
      <c r="B294">
        <v>2021</v>
      </c>
      <c r="C294" t="s">
        <v>31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193.5</v>
      </c>
      <c r="Q294">
        <v>155.1</v>
      </c>
      <c r="R294">
        <v>138.69999999999999</v>
      </c>
      <c r="S294">
        <v>159.9</v>
      </c>
      <c r="T294">
        <v>154.80000000000001</v>
      </c>
      <c r="U294">
        <v>147.19999999999999</v>
      </c>
      <c r="V294">
        <v>156.9</v>
      </c>
      <c r="W294">
        <v>141.69999999999999</v>
      </c>
      <c r="X294">
        <v>148.6</v>
      </c>
      <c r="Y294">
        <v>157.6</v>
      </c>
      <c r="Z294">
        <v>154.9</v>
      </c>
      <c r="AA294">
        <v>156.9</v>
      </c>
      <c r="AB294">
        <f t="shared" si="16"/>
        <v>1904.0999999999997</v>
      </c>
      <c r="AC294">
        <v>159.9</v>
      </c>
      <c r="AD294">
        <v>154.80000000000001</v>
      </c>
      <c r="AE294">
        <f t="shared" si="17"/>
        <v>293.79999999999995</v>
      </c>
      <c r="AF294">
        <f t="shared" si="18"/>
        <v>1100.4000000000001</v>
      </c>
      <c r="AG294">
        <f t="shared" si="19"/>
        <v>3612.9999999999995</v>
      </c>
    </row>
    <row r="295" spans="1:33" x14ac:dyDescent="0.25">
      <c r="A295" t="s">
        <v>29</v>
      </c>
      <c r="B295">
        <v>2021</v>
      </c>
      <c r="C295" t="s">
        <v>31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188.1</v>
      </c>
      <c r="Q295">
        <v>157.80000000000001</v>
      </c>
      <c r="R295">
        <v>147.9</v>
      </c>
      <c r="S295">
        <v>159.9</v>
      </c>
      <c r="T295">
        <v>155.5</v>
      </c>
      <c r="U295">
        <v>151.19999999999999</v>
      </c>
      <c r="V295">
        <v>161.69999999999999</v>
      </c>
      <c r="W295">
        <v>146.19999999999999</v>
      </c>
      <c r="X295">
        <v>152.6</v>
      </c>
      <c r="Y295">
        <v>160.19999999999999</v>
      </c>
      <c r="Z295">
        <v>153.80000000000001</v>
      </c>
      <c r="AA295">
        <v>156.80000000000001</v>
      </c>
      <c r="AB295">
        <f t="shared" si="16"/>
        <v>1882.6999999999998</v>
      </c>
      <c r="AC295">
        <v>159.9</v>
      </c>
      <c r="AD295">
        <v>155.5</v>
      </c>
      <c r="AE295">
        <f t="shared" si="17"/>
        <v>305.70000000000005</v>
      </c>
      <c r="AF295">
        <f t="shared" si="18"/>
        <v>1113.7999999999997</v>
      </c>
      <c r="AG295">
        <f t="shared" si="19"/>
        <v>3617.6</v>
      </c>
    </row>
    <row r="296" spans="1:33" hidden="1" x14ac:dyDescent="0.25">
      <c r="A296" t="s">
        <v>26</v>
      </c>
      <c r="B296">
        <v>2021</v>
      </c>
      <c r="C296" t="s">
        <v>32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186.8</v>
      </c>
      <c r="Q296">
        <v>160.69999999999999</v>
      </c>
      <c r="R296">
        <v>155.1</v>
      </c>
      <c r="T296">
        <v>156</v>
      </c>
      <c r="U296">
        <v>155.5</v>
      </c>
      <c r="V296">
        <v>165.3</v>
      </c>
      <c r="W296">
        <v>151.69999999999999</v>
      </c>
      <c r="X296">
        <v>158.6</v>
      </c>
      <c r="Y296">
        <v>164.1</v>
      </c>
      <c r="Z296">
        <v>154.6</v>
      </c>
      <c r="AA296">
        <v>157.6</v>
      </c>
      <c r="AB296">
        <f t="shared" si="16"/>
        <v>1893.9</v>
      </c>
      <c r="AD296">
        <v>156</v>
      </c>
      <c r="AE296">
        <f t="shared" si="17"/>
        <v>315.79999999999995</v>
      </c>
      <c r="AF296">
        <f t="shared" si="18"/>
        <v>1136.6000000000001</v>
      </c>
      <c r="AG296">
        <f t="shared" si="19"/>
        <v>3502.3</v>
      </c>
    </row>
    <row r="297" spans="1:33" hidden="1" x14ac:dyDescent="0.25">
      <c r="A297" t="s">
        <v>28</v>
      </c>
      <c r="B297">
        <v>2021</v>
      </c>
      <c r="C297" t="s">
        <v>32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194.4</v>
      </c>
      <c r="Q297">
        <v>155.9</v>
      </c>
      <c r="R297">
        <v>139.30000000000001</v>
      </c>
      <c r="S297">
        <v>161.4</v>
      </c>
      <c r="T297">
        <v>154.9</v>
      </c>
      <c r="U297">
        <v>147.6</v>
      </c>
      <c r="V297">
        <v>157.5</v>
      </c>
      <c r="W297">
        <v>142.1</v>
      </c>
      <c r="X297">
        <v>149.1</v>
      </c>
      <c r="Y297">
        <v>157.6</v>
      </c>
      <c r="Z297">
        <v>156.6</v>
      </c>
      <c r="AA297">
        <v>158</v>
      </c>
      <c r="AB297">
        <f t="shared" si="16"/>
        <v>1927.6</v>
      </c>
      <c r="AC297">
        <v>161.4</v>
      </c>
      <c r="AD297">
        <v>154.9</v>
      </c>
      <c r="AE297">
        <f t="shared" si="17"/>
        <v>295.20000000000005</v>
      </c>
      <c r="AF297">
        <f t="shared" si="18"/>
        <v>1104.9000000000001</v>
      </c>
      <c r="AG297">
        <f t="shared" si="19"/>
        <v>3644.0000000000005</v>
      </c>
    </row>
    <row r="298" spans="1:33" x14ac:dyDescent="0.25">
      <c r="A298" t="s">
        <v>29</v>
      </c>
      <c r="B298">
        <v>2021</v>
      </c>
      <c r="C298" t="s">
        <v>32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188.8</v>
      </c>
      <c r="Q298">
        <v>158.80000000000001</v>
      </c>
      <c r="R298">
        <v>148.5</v>
      </c>
      <c r="S298">
        <v>161.4</v>
      </c>
      <c r="T298">
        <v>155.6</v>
      </c>
      <c r="U298">
        <v>151.80000000000001</v>
      </c>
      <c r="V298">
        <v>162.30000000000001</v>
      </c>
      <c r="W298">
        <v>146.6</v>
      </c>
      <c r="X298">
        <v>153.19999999999999</v>
      </c>
      <c r="Y298">
        <v>160.30000000000001</v>
      </c>
      <c r="Z298">
        <v>155.4</v>
      </c>
      <c r="AA298">
        <v>157.80000000000001</v>
      </c>
      <c r="AB298">
        <f t="shared" si="16"/>
        <v>1906.1</v>
      </c>
      <c r="AC298">
        <v>161.4</v>
      </c>
      <c r="AD298">
        <v>155.6</v>
      </c>
      <c r="AE298">
        <f t="shared" si="17"/>
        <v>307.3</v>
      </c>
      <c r="AF298">
        <f t="shared" si="18"/>
        <v>1118.4000000000001</v>
      </c>
      <c r="AG298">
        <f t="shared" si="19"/>
        <v>3648.8</v>
      </c>
    </row>
    <row r="299" spans="1:33" hidden="1" x14ac:dyDescent="0.25">
      <c r="A299" t="s">
        <v>26</v>
      </c>
      <c r="B299">
        <v>2021</v>
      </c>
      <c r="C299" t="s">
        <v>33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189.6</v>
      </c>
      <c r="Q299">
        <v>165.3</v>
      </c>
      <c r="R299">
        <v>160.6</v>
      </c>
      <c r="T299">
        <v>161.69999999999999</v>
      </c>
      <c r="U299">
        <v>158.80000000000001</v>
      </c>
      <c r="V299">
        <v>169.1</v>
      </c>
      <c r="W299">
        <v>153.19999999999999</v>
      </c>
      <c r="X299">
        <v>160</v>
      </c>
      <c r="Y299">
        <v>167.6</v>
      </c>
      <c r="Z299">
        <v>159.30000000000001</v>
      </c>
      <c r="AA299">
        <v>161.1</v>
      </c>
      <c r="AB299">
        <f t="shared" si="16"/>
        <v>1936.6</v>
      </c>
      <c r="AD299">
        <v>161.69999999999999</v>
      </c>
      <c r="AE299">
        <f t="shared" si="17"/>
        <v>325.89999999999998</v>
      </c>
      <c r="AF299">
        <f t="shared" si="18"/>
        <v>1157.5999999999999</v>
      </c>
      <c r="AG299">
        <f t="shared" si="19"/>
        <v>3581.7999999999997</v>
      </c>
    </row>
    <row r="300" spans="1:33" hidden="1" x14ac:dyDescent="0.25">
      <c r="A300" t="s">
        <v>28</v>
      </c>
      <c r="B300">
        <v>2021</v>
      </c>
      <c r="C300" t="s">
        <v>33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198.2</v>
      </c>
      <c r="Q300">
        <v>156.5</v>
      </c>
      <c r="R300">
        <v>140.19999999999999</v>
      </c>
      <c r="S300">
        <v>161.6</v>
      </c>
      <c r="T300">
        <v>155.5</v>
      </c>
      <c r="U300">
        <v>150.1</v>
      </c>
      <c r="V300">
        <v>160.4</v>
      </c>
      <c r="W300">
        <v>145</v>
      </c>
      <c r="X300">
        <v>152.6</v>
      </c>
      <c r="Y300">
        <v>156.6</v>
      </c>
      <c r="Z300">
        <v>157.5</v>
      </c>
      <c r="AA300">
        <v>159.5</v>
      </c>
      <c r="AB300">
        <f t="shared" si="16"/>
        <v>1960.5000000000002</v>
      </c>
      <c r="AC300">
        <v>161.6</v>
      </c>
      <c r="AD300">
        <v>155.5</v>
      </c>
      <c r="AE300">
        <f t="shared" si="17"/>
        <v>296.7</v>
      </c>
      <c r="AF300">
        <f t="shared" si="18"/>
        <v>1120.4000000000001</v>
      </c>
      <c r="AG300">
        <f t="shared" si="19"/>
        <v>3694.7000000000003</v>
      </c>
    </row>
    <row r="301" spans="1:33" x14ac:dyDescent="0.25">
      <c r="A301" t="s">
        <v>29</v>
      </c>
      <c r="B301">
        <v>2021</v>
      </c>
      <c r="C301" t="s">
        <v>33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191.9</v>
      </c>
      <c r="Q301">
        <v>161.80000000000001</v>
      </c>
      <c r="R301">
        <v>152.1</v>
      </c>
      <c r="S301">
        <v>161.6</v>
      </c>
      <c r="T301">
        <v>159.4</v>
      </c>
      <c r="U301">
        <v>154.69999999999999</v>
      </c>
      <c r="V301">
        <v>165.8</v>
      </c>
      <c r="W301">
        <v>148.9</v>
      </c>
      <c r="X301">
        <v>155.80000000000001</v>
      </c>
      <c r="Y301">
        <v>161.19999999999999</v>
      </c>
      <c r="Z301">
        <v>158.6</v>
      </c>
      <c r="AA301">
        <v>160.4</v>
      </c>
      <c r="AB301">
        <f t="shared" si="16"/>
        <v>1945.0000000000002</v>
      </c>
      <c r="AC301">
        <v>161.6</v>
      </c>
      <c r="AD301">
        <v>159.4</v>
      </c>
      <c r="AE301">
        <f t="shared" si="17"/>
        <v>313.89999999999998</v>
      </c>
      <c r="AF301">
        <f t="shared" si="18"/>
        <v>1136.9000000000001</v>
      </c>
      <c r="AG301">
        <f t="shared" si="19"/>
        <v>3716.8000000000006</v>
      </c>
    </row>
    <row r="302" spans="1:33" hidden="1" x14ac:dyDescent="0.25">
      <c r="A302" t="s">
        <v>26</v>
      </c>
      <c r="B302">
        <v>2021</v>
      </c>
      <c r="C302" t="s">
        <v>34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189.1</v>
      </c>
      <c r="Q302">
        <v>165.3</v>
      </c>
      <c r="R302">
        <v>159.9</v>
      </c>
      <c r="T302">
        <v>162.1</v>
      </c>
      <c r="U302">
        <v>159.19999999999999</v>
      </c>
      <c r="V302">
        <v>169.7</v>
      </c>
      <c r="W302">
        <v>154.19999999999999</v>
      </c>
      <c r="X302">
        <v>160.4</v>
      </c>
      <c r="Y302">
        <v>166.8</v>
      </c>
      <c r="Z302">
        <v>159.4</v>
      </c>
      <c r="AA302">
        <v>162.1</v>
      </c>
      <c r="AB302">
        <f t="shared" si="16"/>
        <v>1962.1</v>
      </c>
      <c r="AD302">
        <v>162.1</v>
      </c>
      <c r="AE302">
        <f t="shared" si="17"/>
        <v>325.20000000000005</v>
      </c>
      <c r="AF302">
        <f t="shared" si="18"/>
        <v>1158.8</v>
      </c>
      <c r="AG302">
        <f t="shared" si="19"/>
        <v>3608.2</v>
      </c>
    </row>
    <row r="303" spans="1:33" hidden="1" x14ac:dyDescent="0.25">
      <c r="A303" t="s">
        <v>28</v>
      </c>
      <c r="B303">
        <v>2021</v>
      </c>
      <c r="C303" t="s">
        <v>34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195.6</v>
      </c>
      <c r="Q303">
        <v>157.30000000000001</v>
      </c>
      <c r="R303">
        <v>140.5</v>
      </c>
      <c r="S303">
        <v>160.5</v>
      </c>
      <c r="T303">
        <v>156.1</v>
      </c>
      <c r="U303">
        <v>149.80000000000001</v>
      </c>
      <c r="V303">
        <v>160.80000000000001</v>
      </c>
      <c r="W303">
        <v>147.5</v>
      </c>
      <c r="X303">
        <v>150.69999999999999</v>
      </c>
      <c r="Y303">
        <v>158.1</v>
      </c>
      <c r="Z303">
        <v>158</v>
      </c>
      <c r="AA303">
        <v>160.4</v>
      </c>
      <c r="AB303">
        <f t="shared" si="16"/>
        <v>1988</v>
      </c>
      <c r="AC303">
        <v>160.5</v>
      </c>
      <c r="AD303">
        <v>156.1</v>
      </c>
      <c r="AE303">
        <f t="shared" si="17"/>
        <v>297.8</v>
      </c>
      <c r="AF303">
        <f t="shared" si="18"/>
        <v>1120.5</v>
      </c>
      <c r="AG303">
        <f t="shared" si="19"/>
        <v>3722.9</v>
      </c>
    </row>
    <row r="304" spans="1:33" x14ac:dyDescent="0.25">
      <c r="A304" t="s">
        <v>29</v>
      </c>
      <c r="B304">
        <v>2021</v>
      </c>
      <c r="C304" t="s">
        <v>34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190.8</v>
      </c>
      <c r="Q304">
        <v>162.19999999999999</v>
      </c>
      <c r="R304">
        <v>151.80000000000001</v>
      </c>
      <c r="S304">
        <v>160.5</v>
      </c>
      <c r="T304">
        <v>159.80000000000001</v>
      </c>
      <c r="U304">
        <v>154.80000000000001</v>
      </c>
      <c r="V304">
        <v>166.3</v>
      </c>
      <c r="W304">
        <v>150.69999999999999</v>
      </c>
      <c r="X304">
        <v>154.9</v>
      </c>
      <c r="Y304">
        <v>161.69999999999999</v>
      </c>
      <c r="Z304">
        <v>158.80000000000001</v>
      </c>
      <c r="AA304">
        <v>161.30000000000001</v>
      </c>
      <c r="AB304">
        <f t="shared" si="16"/>
        <v>1971.3</v>
      </c>
      <c r="AC304">
        <v>160.5</v>
      </c>
      <c r="AD304">
        <v>159.80000000000001</v>
      </c>
      <c r="AE304">
        <f t="shared" si="17"/>
        <v>314</v>
      </c>
      <c r="AF304">
        <f t="shared" si="18"/>
        <v>1138</v>
      </c>
      <c r="AG304">
        <f t="shared" si="19"/>
        <v>3743.6000000000004</v>
      </c>
    </row>
    <row r="305" spans="1:33" hidden="1" x14ac:dyDescent="0.25">
      <c r="A305" t="s">
        <v>26</v>
      </c>
      <c r="B305">
        <v>2021</v>
      </c>
      <c r="C305" t="s">
        <v>35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189.7</v>
      </c>
      <c r="Q305">
        <v>166</v>
      </c>
      <c r="R305">
        <v>161.1</v>
      </c>
      <c r="T305">
        <v>162.5</v>
      </c>
      <c r="U305">
        <v>160.30000000000001</v>
      </c>
      <c r="V305">
        <v>170.4</v>
      </c>
      <c r="W305">
        <v>157.1</v>
      </c>
      <c r="X305">
        <v>160.69999999999999</v>
      </c>
      <c r="Y305">
        <v>167.2</v>
      </c>
      <c r="Z305">
        <v>160.4</v>
      </c>
      <c r="AA305">
        <v>163.19999999999999</v>
      </c>
      <c r="AB305">
        <f t="shared" si="16"/>
        <v>1970.7</v>
      </c>
      <c r="AD305">
        <v>162.5</v>
      </c>
      <c r="AE305">
        <f t="shared" si="17"/>
        <v>327.10000000000002</v>
      </c>
      <c r="AF305">
        <f t="shared" si="18"/>
        <v>1165.8</v>
      </c>
      <c r="AG305">
        <f t="shared" si="19"/>
        <v>3626.0999999999995</v>
      </c>
    </row>
    <row r="306" spans="1:33" hidden="1" x14ac:dyDescent="0.25">
      <c r="A306" t="s">
        <v>28</v>
      </c>
      <c r="B306">
        <v>2021</v>
      </c>
      <c r="C306" t="s">
        <v>35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195.5</v>
      </c>
      <c r="Q306">
        <v>157.9</v>
      </c>
      <c r="R306">
        <v>141.9</v>
      </c>
      <c r="S306">
        <v>161.5</v>
      </c>
      <c r="T306">
        <v>157.69999999999999</v>
      </c>
      <c r="U306">
        <v>150.69999999999999</v>
      </c>
      <c r="V306">
        <v>161.5</v>
      </c>
      <c r="W306">
        <v>149.5</v>
      </c>
      <c r="X306">
        <v>151.19999999999999</v>
      </c>
      <c r="Y306">
        <v>160.30000000000001</v>
      </c>
      <c r="Z306">
        <v>159.6</v>
      </c>
      <c r="AA306">
        <v>161.80000000000001</v>
      </c>
      <c r="AB306">
        <f t="shared" si="16"/>
        <v>2003.9000000000003</v>
      </c>
      <c r="AC306">
        <v>161.5</v>
      </c>
      <c r="AD306">
        <v>157.69999999999999</v>
      </c>
      <c r="AE306">
        <f t="shared" si="17"/>
        <v>299.8</v>
      </c>
      <c r="AF306">
        <f t="shared" si="18"/>
        <v>1128.3000000000002</v>
      </c>
      <c r="AG306">
        <f t="shared" si="19"/>
        <v>3751.2000000000007</v>
      </c>
    </row>
    <row r="307" spans="1:33" x14ac:dyDescent="0.25">
      <c r="A307" t="s">
        <v>29</v>
      </c>
      <c r="B307">
        <v>2021</v>
      </c>
      <c r="C307" t="s">
        <v>35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191.2</v>
      </c>
      <c r="Q307">
        <v>162.80000000000001</v>
      </c>
      <c r="R307">
        <v>153.1</v>
      </c>
      <c r="S307">
        <v>161.5</v>
      </c>
      <c r="T307">
        <v>160.69999999999999</v>
      </c>
      <c r="U307">
        <v>155.80000000000001</v>
      </c>
      <c r="V307">
        <v>167</v>
      </c>
      <c r="W307">
        <v>153.1</v>
      </c>
      <c r="X307">
        <v>155.30000000000001</v>
      </c>
      <c r="Y307">
        <v>163.19999999999999</v>
      </c>
      <c r="Z307">
        <v>160.1</v>
      </c>
      <c r="AA307">
        <v>162.5</v>
      </c>
      <c r="AB307">
        <f t="shared" si="16"/>
        <v>1983.0000000000002</v>
      </c>
      <c r="AC307">
        <v>161.5</v>
      </c>
      <c r="AD307">
        <v>160.69999999999999</v>
      </c>
      <c r="AE307">
        <f t="shared" si="17"/>
        <v>315.89999999999998</v>
      </c>
      <c r="AF307">
        <f t="shared" si="18"/>
        <v>1145.7</v>
      </c>
      <c r="AG307">
        <f t="shared" si="19"/>
        <v>3766.8</v>
      </c>
    </row>
    <row r="308" spans="1:33" hidden="1" x14ac:dyDescent="0.25">
      <c r="A308" t="s">
        <v>26</v>
      </c>
      <c r="B308">
        <v>2021</v>
      </c>
      <c r="C308" t="s">
        <v>36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190.2</v>
      </c>
      <c r="Q308">
        <v>167</v>
      </c>
      <c r="R308">
        <v>162.6</v>
      </c>
      <c r="T308">
        <v>163.1</v>
      </c>
      <c r="U308">
        <v>160.9</v>
      </c>
      <c r="V308">
        <v>171.1</v>
      </c>
      <c r="W308">
        <v>157.69999999999999</v>
      </c>
      <c r="X308">
        <v>161.1</v>
      </c>
      <c r="Y308">
        <v>167.5</v>
      </c>
      <c r="Z308">
        <v>160.30000000000001</v>
      </c>
      <c r="AA308">
        <v>163.6</v>
      </c>
      <c r="AB308">
        <f t="shared" si="16"/>
        <v>1969</v>
      </c>
      <c r="AD308">
        <v>163.1</v>
      </c>
      <c r="AE308">
        <f t="shared" si="17"/>
        <v>329.6</v>
      </c>
      <c r="AF308">
        <f t="shared" si="18"/>
        <v>1168.8</v>
      </c>
      <c r="AG308">
        <f t="shared" si="19"/>
        <v>3630.5</v>
      </c>
    </row>
    <row r="309" spans="1:33" hidden="1" x14ac:dyDescent="0.25">
      <c r="A309" t="s">
        <v>28</v>
      </c>
      <c r="B309">
        <v>2021</v>
      </c>
      <c r="C309" t="s">
        <v>36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196.5</v>
      </c>
      <c r="Q309">
        <v>159.80000000000001</v>
      </c>
      <c r="R309">
        <v>143.6</v>
      </c>
      <c r="S309">
        <v>162.1</v>
      </c>
      <c r="T309">
        <v>160.69999999999999</v>
      </c>
      <c r="U309">
        <v>153.19999999999999</v>
      </c>
      <c r="V309">
        <v>162.80000000000001</v>
      </c>
      <c r="W309">
        <v>150.4</v>
      </c>
      <c r="X309">
        <v>153.69999999999999</v>
      </c>
      <c r="Y309">
        <v>160.4</v>
      </c>
      <c r="Z309">
        <v>159.6</v>
      </c>
      <c r="AA309">
        <v>162.30000000000001</v>
      </c>
      <c r="AB309">
        <f t="shared" si="16"/>
        <v>1990.6</v>
      </c>
      <c r="AC309">
        <v>162.1</v>
      </c>
      <c r="AD309">
        <v>160.69999999999999</v>
      </c>
      <c r="AE309">
        <f t="shared" si="17"/>
        <v>303.39999999999998</v>
      </c>
      <c r="AF309">
        <f t="shared" si="18"/>
        <v>1136.5999999999999</v>
      </c>
      <c r="AG309">
        <f t="shared" si="19"/>
        <v>3753.3999999999996</v>
      </c>
    </row>
    <row r="310" spans="1:33" x14ac:dyDescent="0.25">
      <c r="A310" t="s">
        <v>29</v>
      </c>
      <c r="B310">
        <v>2021</v>
      </c>
      <c r="C310" t="s">
        <v>36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192.1</v>
      </c>
      <c r="Q310">
        <v>164.5</v>
      </c>
      <c r="R310">
        <v>155.30000000000001</v>
      </c>
      <c r="S310">
        <v>162.1</v>
      </c>
      <c r="T310">
        <v>162.6</v>
      </c>
      <c r="U310">
        <v>157.5</v>
      </c>
      <c r="V310">
        <v>168.4</v>
      </c>
      <c r="W310">
        <v>154</v>
      </c>
      <c r="X310">
        <v>157.6</v>
      </c>
      <c r="Y310">
        <v>163.80000000000001</v>
      </c>
      <c r="Z310">
        <v>160</v>
      </c>
      <c r="AA310">
        <v>163.19999999999999</v>
      </c>
      <c r="AB310">
        <f t="shared" si="16"/>
        <v>1978.0000000000002</v>
      </c>
      <c r="AC310">
        <v>162.1</v>
      </c>
      <c r="AD310">
        <v>162.6</v>
      </c>
      <c r="AE310">
        <f t="shared" si="17"/>
        <v>319.8</v>
      </c>
      <c r="AF310">
        <f t="shared" si="18"/>
        <v>1153.3999999999999</v>
      </c>
      <c r="AG310">
        <f t="shared" si="19"/>
        <v>3775.9000000000005</v>
      </c>
    </row>
    <row r="311" spans="1:33" hidden="1" x14ac:dyDescent="0.25">
      <c r="A311" t="s">
        <v>26</v>
      </c>
      <c r="B311">
        <v>2021</v>
      </c>
      <c r="C311" t="s">
        <v>37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190.5</v>
      </c>
      <c r="Q311">
        <v>167.7</v>
      </c>
      <c r="R311">
        <v>163.6</v>
      </c>
      <c r="T311">
        <v>163.69999999999999</v>
      </c>
      <c r="U311">
        <v>161.30000000000001</v>
      </c>
      <c r="V311">
        <v>171.9</v>
      </c>
      <c r="W311">
        <v>157.80000000000001</v>
      </c>
      <c r="X311">
        <v>162.69999999999999</v>
      </c>
      <c r="Y311">
        <v>168.5</v>
      </c>
      <c r="Z311">
        <v>160.19999999999999</v>
      </c>
      <c r="AA311">
        <v>164</v>
      </c>
      <c r="AB311">
        <f t="shared" si="16"/>
        <v>1971.5</v>
      </c>
      <c r="AD311">
        <v>163.69999999999999</v>
      </c>
      <c r="AE311">
        <f t="shared" si="17"/>
        <v>331.29999999999995</v>
      </c>
      <c r="AF311">
        <f t="shared" si="18"/>
        <v>1172.9000000000001</v>
      </c>
      <c r="AG311">
        <f t="shared" si="19"/>
        <v>3639.4</v>
      </c>
    </row>
    <row r="312" spans="1:33" hidden="1" x14ac:dyDescent="0.25">
      <c r="A312" t="s">
        <v>28</v>
      </c>
      <c r="B312">
        <v>2021</v>
      </c>
      <c r="C312" t="s">
        <v>37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196.5</v>
      </c>
      <c r="Q312">
        <v>159.80000000000001</v>
      </c>
      <c r="R312">
        <v>143.6</v>
      </c>
      <c r="S312">
        <v>162.1</v>
      </c>
      <c r="T312">
        <v>160.80000000000001</v>
      </c>
      <c r="U312">
        <v>153.30000000000001</v>
      </c>
      <c r="V312">
        <v>162.80000000000001</v>
      </c>
      <c r="W312">
        <v>150.5</v>
      </c>
      <c r="X312">
        <v>153.9</v>
      </c>
      <c r="Y312">
        <v>160.30000000000001</v>
      </c>
      <c r="Z312">
        <v>159.6</v>
      </c>
      <c r="AA312">
        <v>162.30000000000001</v>
      </c>
      <c r="AB312">
        <f t="shared" si="16"/>
        <v>1990.6000000000001</v>
      </c>
      <c r="AC312">
        <v>162.1</v>
      </c>
      <c r="AD312">
        <v>160.80000000000001</v>
      </c>
      <c r="AE312">
        <f t="shared" si="17"/>
        <v>303.39999999999998</v>
      </c>
      <c r="AF312">
        <f t="shared" si="18"/>
        <v>1136.9000000000001</v>
      </c>
      <c r="AG312">
        <f t="shared" si="19"/>
        <v>3753.8000000000006</v>
      </c>
    </row>
    <row r="313" spans="1:33" x14ac:dyDescent="0.25">
      <c r="A313" t="s">
        <v>29</v>
      </c>
      <c r="B313">
        <v>2021</v>
      </c>
      <c r="C313" t="s">
        <v>37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192.1</v>
      </c>
      <c r="Q313">
        <v>164.6</v>
      </c>
      <c r="R313">
        <v>155.30000000000001</v>
      </c>
      <c r="S313">
        <v>162.1</v>
      </c>
      <c r="T313">
        <v>162.6</v>
      </c>
      <c r="U313">
        <v>157.5</v>
      </c>
      <c r="V313">
        <v>168.4</v>
      </c>
      <c r="W313">
        <v>154</v>
      </c>
      <c r="X313">
        <v>157.69999999999999</v>
      </c>
      <c r="Y313">
        <v>163.69999999999999</v>
      </c>
      <c r="Z313">
        <v>160</v>
      </c>
      <c r="AA313">
        <v>163.19999999999999</v>
      </c>
      <c r="AB313">
        <f t="shared" si="16"/>
        <v>1978</v>
      </c>
      <c r="AC313">
        <v>162.1</v>
      </c>
      <c r="AD313">
        <v>162.6</v>
      </c>
      <c r="AE313">
        <f t="shared" si="17"/>
        <v>319.89999999999998</v>
      </c>
      <c r="AF313">
        <f t="shared" si="18"/>
        <v>1153.3999999999999</v>
      </c>
      <c r="AG313">
        <f t="shared" si="19"/>
        <v>3776</v>
      </c>
    </row>
    <row r="314" spans="1:33" hidden="1" x14ac:dyDescent="0.25">
      <c r="A314" t="s">
        <v>26</v>
      </c>
      <c r="B314">
        <v>2021</v>
      </c>
      <c r="C314" t="s">
        <v>38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191.2</v>
      </c>
      <c r="Q314">
        <v>168.9</v>
      </c>
      <c r="R314">
        <v>164.8</v>
      </c>
      <c r="T314">
        <v>165.5</v>
      </c>
      <c r="U314">
        <v>162</v>
      </c>
      <c r="V314">
        <v>172.5</v>
      </c>
      <c r="W314">
        <v>159.5</v>
      </c>
      <c r="X314">
        <v>163.19999999999999</v>
      </c>
      <c r="Y314">
        <v>169</v>
      </c>
      <c r="Z314">
        <v>161.1</v>
      </c>
      <c r="AA314">
        <v>166.3</v>
      </c>
      <c r="AB314">
        <f t="shared" si="16"/>
        <v>1998.6999999999998</v>
      </c>
      <c r="AD314">
        <v>165.5</v>
      </c>
      <c r="AE314">
        <f t="shared" si="17"/>
        <v>333.70000000000005</v>
      </c>
      <c r="AF314">
        <f t="shared" si="18"/>
        <v>1178.5</v>
      </c>
      <c r="AG314">
        <f t="shared" si="19"/>
        <v>3676.3999999999996</v>
      </c>
    </row>
    <row r="315" spans="1:33" hidden="1" x14ac:dyDescent="0.25">
      <c r="A315" t="s">
        <v>28</v>
      </c>
      <c r="B315">
        <v>2021</v>
      </c>
      <c r="C315" t="s">
        <v>38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197</v>
      </c>
      <c r="Q315">
        <v>160.80000000000001</v>
      </c>
      <c r="R315">
        <v>144.4</v>
      </c>
      <c r="S315">
        <v>163.6</v>
      </c>
      <c r="T315">
        <v>162.19999999999999</v>
      </c>
      <c r="U315">
        <v>154.30000000000001</v>
      </c>
      <c r="V315">
        <v>163.5</v>
      </c>
      <c r="W315">
        <v>152.19999999999999</v>
      </c>
      <c r="X315">
        <v>155.1</v>
      </c>
      <c r="Y315">
        <v>160.30000000000001</v>
      </c>
      <c r="Z315">
        <v>160.30000000000001</v>
      </c>
      <c r="AA315">
        <v>164.6</v>
      </c>
      <c r="AB315">
        <f t="shared" si="16"/>
        <v>2026.9000000000003</v>
      </c>
      <c r="AC315">
        <v>163.6</v>
      </c>
      <c r="AD315">
        <v>162.19999999999999</v>
      </c>
      <c r="AE315">
        <f t="shared" si="17"/>
        <v>305.20000000000005</v>
      </c>
      <c r="AF315">
        <f t="shared" si="18"/>
        <v>1142.7</v>
      </c>
      <c r="AG315">
        <f t="shared" si="19"/>
        <v>3800.6000000000004</v>
      </c>
    </row>
    <row r="316" spans="1:33" x14ac:dyDescent="0.25">
      <c r="A316" t="s">
        <v>29</v>
      </c>
      <c r="B316">
        <v>2021</v>
      </c>
      <c r="C316" t="s">
        <v>38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192.7</v>
      </c>
      <c r="Q316">
        <v>165.7</v>
      </c>
      <c r="R316">
        <v>156.30000000000001</v>
      </c>
      <c r="S316">
        <v>163.6</v>
      </c>
      <c r="T316">
        <v>164.2</v>
      </c>
      <c r="U316">
        <v>158.4</v>
      </c>
      <c r="V316">
        <v>169.1</v>
      </c>
      <c r="W316">
        <v>155.69999999999999</v>
      </c>
      <c r="X316">
        <v>158.6</v>
      </c>
      <c r="Y316">
        <v>163.9</v>
      </c>
      <c r="Z316">
        <v>160.80000000000001</v>
      </c>
      <c r="AA316">
        <v>165.5</v>
      </c>
      <c r="AB316">
        <f t="shared" si="16"/>
        <v>2007.8000000000002</v>
      </c>
      <c r="AC316">
        <v>163.6</v>
      </c>
      <c r="AD316">
        <v>164.2</v>
      </c>
      <c r="AE316">
        <f t="shared" si="17"/>
        <v>322</v>
      </c>
      <c r="AF316">
        <f t="shared" si="18"/>
        <v>1159.2</v>
      </c>
      <c r="AG316">
        <f t="shared" si="19"/>
        <v>3816.8</v>
      </c>
    </row>
    <row r="317" spans="1:33" hidden="1" x14ac:dyDescent="0.25">
      <c r="A317" t="s">
        <v>26</v>
      </c>
      <c r="B317">
        <v>2021</v>
      </c>
      <c r="C317" t="s">
        <v>40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191.4</v>
      </c>
      <c r="Q317">
        <v>170.4</v>
      </c>
      <c r="R317">
        <v>166</v>
      </c>
      <c r="T317">
        <v>165.3</v>
      </c>
      <c r="U317">
        <v>162.9</v>
      </c>
      <c r="V317">
        <v>173.4</v>
      </c>
      <c r="W317">
        <v>158.9</v>
      </c>
      <c r="X317">
        <v>163.80000000000001</v>
      </c>
      <c r="Y317">
        <v>169.3</v>
      </c>
      <c r="Z317">
        <v>162.4</v>
      </c>
      <c r="AA317">
        <v>167.6</v>
      </c>
      <c r="AB317">
        <f t="shared" si="16"/>
        <v>2014.5</v>
      </c>
      <c r="AD317">
        <v>165.3</v>
      </c>
      <c r="AE317">
        <f t="shared" si="17"/>
        <v>336.4</v>
      </c>
      <c r="AF317">
        <f t="shared" si="18"/>
        <v>1182.0999999999999</v>
      </c>
      <c r="AG317">
        <f t="shared" si="19"/>
        <v>3698.3</v>
      </c>
    </row>
    <row r="318" spans="1:33" hidden="1" x14ac:dyDescent="0.25">
      <c r="A318" t="s">
        <v>28</v>
      </c>
      <c r="B318">
        <v>2021</v>
      </c>
      <c r="C318" t="s">
        <v>40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197</v>
      </c>
      <c r="Q318">
        <v>162.30000000000001</v>
      </c>
      <c r="R318">
        <v>145.30000000000001</v>
      </c>
      <c r="S318">
        <v>164.2</v>
      </c>
      <c r="T318">
        <v>161.6</v>
      </c>
      <c r="U318">
        <v>155.19999999999999</v>
      </c>
      <c r="V318">
        <v>164.2</v>
      </c>
      <c r="W318">
        <v>151.19999999999999</v>
      </c>
      <c r="X318">
        <v>156.69999999999999</v>
      </c>
      <c r="Y318">
        <v>160.80000000000001</v>
      </c>
      <c r="Z318">
        <v>161.80000000000001</v>
      </c>
      <c r="AA318">
        <v>165.6</v>
      </c>
      <c r="AB318">
        <f t="shared" si="16"/>
        <v>2044.3999999999996</v>
      </c>
      <c r="AC318">
        <v>164.2</v>
      </c>
      <c r="AD318">
        <v>161.6</v>
      </c>
      <c r="AE318">
        <f t="shared" si="17"/>
        <v>307.60000000000002</v>
      </c>
      <c r="AF318">
        <f t="shared" si="18"/>
        <v>1146.8999999999999</v>
      </c>
      <c r="AG318">
        <f t="shared" si="19"/>
        <v>3824.6999999999989</v>
      </c>
    </row>
    <row r="319" spans="1:33" x14ac:dyDescent="0.25">
      <c r="A319" t="s">
        <v>29</v>
      </c>
      <c r="B319">
        <v>2021</v>
      </c>
      <c r="C319" t="s">
        <v>40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192.9</v>
      </c>
      <c r="Q319">
        <v>167.2</v>
      </c>
      <c r="R319">
        <v>157.4</v>
      </c>
      <c r="S319">
        <v>164.2</v>
      </c>
      <c r="T319">
        <v>163.9</v>
      </c>
      <c r="U319">
        <v>159.30000000000001</v>
      </c>
      <c r="V319">
        <v>169.9</v>
      </c>
      <c r="W319">
        <v>154.80000000000001</v>
      </c>
      <c r="X319">
        <v>159.80000000000001</v>
      </c>
      <c r="Y319">
        <v>164.3</v>
      </c>
      <c r="Z319">
        <v>162.19999999999999</v>
      </c>
      <c r="AA319">
        <v>166.7</v>
      </c>
      <c r="AB319">
        <f t="shared" si="16"/>
        <v>2024.3999999999999</v>
      </c>
      <c r="AC319">
        <v>164.2</v>
      </c>
      <c r="AD319">
        <v>163.9</v>
      </c>
      <c r="AE319">
        <f t="shared" si="17"/>
        <v>324.60000000000002</v>
      </c>
      <c r="AF319">
        <f t="shared" si="18"/>
        <v>1163.2000000000003</v>
      </c>
      <c r="AG319">
        <f t="shared" si="19"/>
        <v>3840.3</v>
      </c>
    </row>
    <row r="320" spans="1:33" hidden="1" x14ac:dyDescent="0.25">
      <c r="A320" t="s">
        <v>26</v>
      </c>
      <c r="B320">
        <v>2021</v>
      </c>
      <c r="C320" t="s">
        <v>41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190.8</v>
      </c>
      <c r="Q320">
        <v>171.8</v>
      </c>
      <c r="R320">
        <v>167.3</v>
      </c>
      <c r="T320">
        <v>165.6</v>
      </c>
      <c r="U320">
        <v>163.9</v>
      </c>
      <c r="V320">
        <v>174</v>
      </c>
      <c r="W320">
        <v>160.1</v>
      </c>
      <c r="X320">
        <v>164.5</v>
      </c>
      <c r="Y320">
        <v>169.7</v>
      </c>
      <c r="Z320">
        <v>162.80000000000001</v>
      </c>
      <c r="AA320">
        <v>167</v>
      </c>
      <c r="AB320">
        <f t="shared" si="16"/>
        <v>2002.3999999999999</v>
      </c>
      <c r="AD320">
        <v>165.6</v>
      </c>
      <c r="AE320">
        <f t="shared" si="17"/>
        <v>339.1</v>
      </c>
      <c r="AF320">
        <f t="shared" si="18"/>
        <v>1185.8</v>
      </c>
      <c r="AG320">
        <f t="shared" si="19"/>
        <v>3692.8999999999996</v>
      </c>
    </row>
    <row r="321" spans="1:33" hidden="1" x14ac:dyDescent="0.25">
      <c r="A321" t="s">
        <v>28</v>
      </c>
      <c r="B321">
        <v>2021</v>
      </c>
      <c r="C321" t="s">
        <v>41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196.8</v>
      </c>
      <c r="Q321">
        <v>163.30000000000001</v>
      </c>
      <c r="R321">
        <v>146.69999999999999</v>
      </c>
      <c r="S321">
        <v>163.4</v>
      </c>
      <c r="T321">
        <v>161.69999999999999</v>
      </c>
      <c r="U321">
        <v>156</v>
      </c>
      <c r="V321">
        <v>165.1</v>
      </c>
      <c r="W321">
        <v>151.80000000000001</v>
      </c>
      <c r="X321">
        <v>157.6</v>
      </c>
      <c r="Y321">
        <v>160.6</v>
      </c>
      <c r="Z321">
        <v>162.4</v>
      </c>
      <c r="AA321">
        <v>165.2</v>
      </c>
      <c r="AB321">
        <f t="shared" si="16"/>
        <v>2034.1000000000001</v>
      </c>
      <c r="AC321">
        <v>163.4</v>
      </c>
      <c r="AD321">
        <v>161.69999999999999</v>
      </c>
      <c r="AE321">
        <f t="shared" si="17"/>
        <v>310</v>
      </c>
      <c r="AF321">
        <f t="shared" si="18"/>
        <v>1150.3</v>
      </c>
      <c r="AG321">
        <f t="shared" si="19"/>
        <v>3819.5</v>
      </c>
    </row>
    <row r="322" spans="1:33" x14ac:dyDescent="0.25">
      <c r="A322" t="s">
        <v>29</v>
      </c>
      <c r="B322">
        <v>2021</v>
      </c>
      <c r="C322" t="s">
        <v>41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192.4</v>
      </c>
      <c r="Q322">
        <v>168.5</v>
      </c>
      <c r="R322">
        <v>158.69999999999999</v>
      </c>
      <c r="S322">
        <v>163.4</v>
      </c>
      <c r="T322">
        <v>164.1</v>
      </c>
      <c r="U322">
        <v>160.19999999999999</v>
      </c>
      <c r="V322">
        <v>170.6</v>
      </c>
      <c r="W322">
        <v>155.69999999999999</v>
      </c>
      <c r="X322">
        <v>160.6</v>
      </c>
      <c r="Y322">
        <v>164.4</v>
      </c>
      <c r="Z322">
        <v>162.6</v>
      </c>
      <c r="AA322">
        <v>166.2</v>
      </c>
      <c r="AB322">
        <f t="shared" si="16"/>
        <v>2012.7</v>
      </c>
      <c r="AC322">
        <v>163.4</v>
      </c>
      <c r="AD322">
        <v>164.1</v>
      </c>
      <c r="AE322">
        <f t="shared" si="17"/>
        <v>327.2</v>
      </c>
      <c r="AF322">
        <f t="shared" si="18"/>
        <v>1166.5</v>
      </c>
      <c r="AG322">
        <f t="shared" si="19"/>
        <v>3833.8999999999996</v>
      </c>
    </row>
    <row r="323" spans="1:33" hidden="1" x14ac:dyDescent="0.25">
      <c r="A323" t="s">
        <v>26</v>
      </c>
      <c r="B323">
        <v>2022</v>
      </c>
      <c r="C323" t="s">
        <v>27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190.7</v>
      </c>
      <c r="Q323">
        <v>173.2</v>
      </c>
      <c r="R323">
        <v>169.3</v>
      </c>
      <c r="T323">
        <v>165.8</v>
      </c>
      <c r="U323">
        <v>164.9</v>
      </c>
      <c r="V323">
        <v>174.7</v>
      </c>
      <c r="W323">
        <v>160.80000000000001</v>
      </c>
      <c r="X323">
        <v>164.9</v>
      </c>
      <c r="Y323">
        <v>169.9</v>
      </c>
      <c r="Z323">
        <v>163.19999999999999</v>
      </c>
      <c r="AA323">
        <v>166.4</v>
      </c>
      <c r="AB323">
        <f t="shared" ref="AB323:AB373" si="39">SUM(D323:O323)</f>
        <v>1988.8999999999999</v>
      </c>
      <c r="AD323">
        <v>165.8</v>
      </c>
      <c r="AE323">
        <f t="shared" ref="AE323:AE373" si="40">SUM(Q323:R323)</f>
        <v>342.5</v>
      </c>
      <c r="AF323">
        <f t="shared" ref="AF323:AF373" si="41">SUM(U323:Z323,P323)</f>
        <v>1189.1000000000001</v>
      </c>
      <c r="AG323">
        <f t="shared" ref="AG323:AG373" si="42">SUM(AB323:AF323)</f>
        <v>3686.3</v>
      </c>
    </row>
    <row r="324" spans="1:33" hidden="1" x14ac:dyDescent="0.25">
      <c r="A324" t="s">
        <v>28</v>
      </c>
      <c r="B324">
        <v>2022</v>
      </c>
      <c r="C324" t="s">
        <v>27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196.4</v>
      </c>
      <c r="Q324">
        <v>164.7</v>
      </c>
      <c r="R324">
        <v>148.5</v>
      </c>
      <c r="S324">
        <v>164.5</v>
      </c>
      <c r="T324">
        <v>161.6</v>
      </c>
      <c r="U324">
        <v>156.80000000000001</v>
      </c>
      <c r="V324">
        <v>166.1</v>
      </c>
      <c r="W324">
        <v>152.69999999999999</v>
      </c>
      <c r="X324">
        <v>158.4</v>
      </c>
      <c r="Y324">
        <v>161</v>
      </c>
      <c r="Z324">
        <v>162.80000000000001</v>
      </c>
      <c r="AA324">
        <v>165</v>
      </c>
      <c r="AB324">
        <f t="shared" si="39"/>
        <v>2016.3999999999996</v>
      </c>
      <c r="AC324">
        <v>164.5</v>
      </c>
      <c r="AD324">
        <v>161.6</v>
      </c>
      <c r="AE324">
        <f t="shared" si="40"/>
        <v>313.2</v>
      </c>
      <c r="AF324">
        <f t="shared" si="41"/>
        <v>1154.2</v>
      </c>
      <c r="AG324">
        <f t="shared" si="42"/>
        <v>3809.8999999999996</v>
      </c>
    </row>
    <row r="325" spans="1:33" x14ac:dyDescent="0.25">
      <c r="A325" t="s">
        <v>29</v>
      </c>
      <c r="B325">
        <v>2022</v>
      </c>
      <c r="C325" t="s">
        <v>27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192.2</v>
      </c>
      <c r="Q325">
        <v>169.9</v>
      </c>
      <c r="R325">
        <v>160.69999999999999</v>
      </c>
      <c r="S325">
        <v>164.5</v>
      </c>
      <c r="T325">
        <v>164.2</v>
      </c>
      <c r="U325">
        <v>161.1</v>
      </c>
      <c r="V325">
        <v>171.4</v>
      </c>
      <c r="W325">
        <v>156.5</v>
      </c>
      <c r="X325">
        <v>161.19999999999999</v>
      </c>
      <c r="Y325">
        <v>164.7</v>
      </c>
      <c r="Z325">
        <v>163</v>
      </c>
      <c r="AA325">
        <v>165.7</v>
      </c>
      <c r="AB325">
        <f t="shared" si="39"/>
        <v>1997.8</v>
      </c>
      <c r="AC325">
        <v>164.5</v>
      </c>
      <c r="AD325">
        <v>164.2</v>
      </c>
      <c r="AE325">
        <f t="shared" si="40"/>
        <v>330.6</v>
      </c>
      <c r="AF325">
        <f t="shared" si="41"/>
        <v>1170.1000000000001</v>
      </c>
      <c r="AG325">
        <f t="shared" si="42"/>
        <v>3827.2</v>
      </c>
    </row>
    <row r="326" spans="1:33" hidden="1" x14ac:dyDescent="0.25">
      <c r="A326" t="s">
        <v>26</v>
      </c>
      <c r="B326">
        <v>2022</v>
      </c>
      <c r="C326" t="s">
        <v>30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191.5</v>
      </c>
      <c r="Q326">
        <v>174.1</v>
      </c>
      <c r="R326">
        <v>171</v>
      </c>
      <c r="T326">
        <v>167.4</v>
      </c>
      <c r="U326">
        <v>165.7</v>
      </c>
      <c r="V326">
        <v>175.3</v>
      </c>
      <c r="W326">
        <v>161.19999999999999</v>
      </c>
      <c r="X326">
        <v>165.5</v>
      </c>
      <c r="Y326">
        <v>170.3</v>
      </c>
      <c r="Z326">
        <v>164.5</v>
      </c>
      <c r="AA326">
        <v>166.7</v>
      </c>
      <c r="AB326">
        <f t="shared" si="39"/>
        <v>1986.5</v>
      </c>
      <c r="AD326">
        <v>167.4</v>
      </c>
      <c r="AE326">
        <f t="shared" si="40"/>
        <v>345.1</v>
      </c>
      <c r="AF326">
        <f t="shared" si="41"/>
        <v>1194</v>
      </c>
      <c r="AG326">
        <f t="shared" si="42"/>
        <v>3693</v>
      </c>
    </row>
    <row r="327" spans="1:33" hidden="1" x14ac:dyDescent="0.25">
      <c r="A327" t="s">
        <v>28</v>
      </c>
      <c r="B327">
        <v>2022</v>
      </c>
      <c r="C327" t="s">
        <v>30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196.5</v>
      </c>
      <c r="Q327">
        <v>165.7</v>
      </c>
      <c r="R327">
        <v>150.4</v>
      </c>
      <c r="S327">
        <v>165.5</v>
      </c>
      <c r="T327">
        <v>163</v>
      </c>
      <c r="U327">
        <v>157.4</v>
      </c>
      <c r="V327">
        <v>167.2</v>
      </c>
      <c r="W327">
        <v>153.1</v>
      </c>
      <c r="X327">
        <v>159.5</v>
      </c>
      <c r="Y327">
        <v>162</v>
      </c>
      <c r="Z327">
        <v>164.2</v>
      </c>
      <c r="AA327">
        <v>165.5</v>
      </c>
      <c r="AB327">
        <f t="shared" si="39"/>
        <v>2013.3</v>
      </c>
      <c r="AC327">
        <v>165.5</v>
      </c>
      <c r="AD327">
        <v>163</v>
      </c>
      <c r="AE327">
        <f t="shared" si="40"/>
        <v>316.10000000000002</v>
      </c>
      <c r="AF327">
        <f t="shared" si="41"/>
        <v>1159.9000000000001</v>
      </c>
      <c r="AG327">
        <f t="shared" si="42"/>
        <v>3817.8</v>
      </c>
    </row>
    <row r="328" spans="1:33" x14ac:dyDescent="0.25">
      <c r="A328" t="s">
        <v>29</v>
      </c>
      <c r="B328">
        <v>2022</v>
      </c>
      <c r="C328" t="s">
        <v>30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192.8</v>
      </c>
      <c r="Q328">
        <v>170.8</v>
      </c>
      <c r="R328">
        <v>162.4</v>
      </c>
      <c r="S328">
        <v>165.5</v>
      </c>
      <c r="T328">
        <v>165.7</v>
      </c>
      <c r="U328">
        <v>161.80000000000001</v>
      </c>
      <c r="V328">
        <v>172.2</v>
      </c>
      <c r="W328">
        <v>156.9</v>
      </c>
      <c r="X328">
        <v>162.1</v>
      </c>
      <c r="Y328">
        <v>165.4</v>
      </c>
      <c r="Z328">
        <v>164.4</v>
      </c>
      <c r="AA328">
        <v>166.1</v>
      </c>
      <c r="AB328">
        <f t="shared" si="39"/>
        <v>1995.0000000000002</v>
      </c>
      <c r="AC328">
        <v>165.5</v>
      </c>
      <c r="AD328">
        <v>165.7</v>
      </c>
      <c r="AE328">
        <f t="shared" si="40"/>
        <v>333.20000000000005</v>
      </c>
      <c r="AF328">
        <f t="shared" si="41"/>
        <v>1175.5999999999999</v>
      </c>
      <c r="AG328">
        <f t="shared" si="42"/>
        <v>3834.9999999999995</v>
      </c>
    </row>
    <row r="329" spans="1:33" hidden="1" x14ac:dyDescent="0.25">
      <c r="A329" t="s">
        <v>26</v>
      </c>
      <c r="B329">
        <v>2022</v>
      </c>
      <c r="C329" t="s">
        <v>31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192.3</v>
      </c>
      <c r="Q329">
        <v>175.4</v>
      </c>
      <c r="R329">
        <v>173.2</v>
      </c>
      <c r="T329">
        <v>168.9</v>
      </c>
      <c r="U329">
        <v>166.5</v>
      </c>
      <c r="V329">
        <v>176</v>
      </c>
      <c r="W329">
        <v>162</v>
      </c>
      <c r="X329">
        <v>166.6</v>
      </c>
      <c r="Y329">
        <v>170.6</v>
      </c>
      <c r="Z329">
        <v>167.4</v>
      </c>
      <c r="AA329">
        <v>168.7</v>
      </c>
      <c r="AB329">
        <f t="shared" si="39"/>
        <v>2012.5000000000002</v>
      </c>
      <c r="AD329">
        <v>168.9</v>
      </c>
      <c r="AE329">
        <f t="shared" si="40"/>
        <v>348.6</v>
      </c>
      <c r="AF329">
        <f t="shared" si="41"/>
        <v>1201.4000000000001</v>
      </c>
      <c r="AG329">
        <f t="shared" si="42"/>
        <v>3731.4</v>
      </c>
    </row>
    <row r="330" spans="1:33" hidden="1" x14ac:dyDescent="0.25">
      <c r="A330" t="s">
        <v>28</v>
      </c>
      <c r="B330">
        <v>2022</v>
      </c>
      <c r="C330" t="s">
        <v>31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197.5</v>
      </c>
      <c r="Q330">
        <v>167.1</v>
      </c>
      <c r="R330">
        <v>152.6</v>
      </c>
      <c r="S330">
        <v>165.3</v>
      </c>
      <c r="T330">
        <v>164.5</v>
      </c>
      <c r="U330">
        <v>158.6</v>
      </c>
      <c r="V330">
        <v>168.2</v>
      </c>
      <c r="W330">
        <v>154.19999999999999</v>
      </c>
      <c r="X330">
        <v>160.80000000000001</v>
      </c>
      <c r="Y330">
        <v>162.69999999999999</v>
      </c>
      <c r="Z330">
        <v>166.8</v>
      </c>
      <c r="AA330">
        <v>166.5</v>
      </c>
      <c r="AB330">
        <f t="shared" si="39"/>
        <v>2024.8000000000002</v>
      </c>
      <c r="AC330">
        <v>165.3</v>
      </c>
      <c r="AD330">
        <v>164.5</v>
      </c>
      <c r="AE330">
        <f t="shared" si="40"/>
        <v>319.7</v>
      </c>
      <c r="AF330">
        <f t="shared" si="41"/>
        <v>1168.8</v>
      </c>
      <c r="AG330">
        <f t="shared" si="42"/>
        <v>3843.1000000000004</v>
      </c>
    </row>
    <row r="331" spans="1:33" x14ac:dyDescent="0.25">
      <c r="A331" t="s">
        <v>29</v>
      </c>
      <c r="B331">
        <v>2022</v>
      </c>
      <c r="C331" t="s">
        <v>31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193.7</v>
      </c>
      <c r="Q331">
        <v>172.1</v>
      </c>
      <c r="R331">
        <v>164.6</v>
      </c>
      <c r="S331">
        <v>165.3</v>
      </c>
      <c r="T331">
        <v>167.2</v>
      </c>
      <c r="U331">
        <v>162.80000000000001</v>
      </c>
      <c r="V331">
        <v>173</v>
      </c>
      <c r="W331">
        <v>157.9</v>
      </c>
      <c r="X331">
        <v>163.30000000000001</v>
      </c>
      <c r="Y331">
        <v>166</v>
      </c>
      <c r="Z331">
        <v>167.2</v>
      </c>
      <c r="AA331">
        <v>167.7</v>
      </c>
      <c r="AB331">
        <f t="shared" si="39"/>
        <v>2015.8000000000002</v>
      </c>
      <c r="AC331">
        <v>165.3</v>
      </c>
      <c r="AD331">
        <v>167.2</v>
      </c>
      <c r="AE331">
        <f t="shared" si="40"/>
        <v>336.7</v>
      </c>
      <c r="AF331">
        <f t="shared" si="41"/>
        <v>1183.9000000000001</v>
      </c>
      <c r="AG331">
        <f t="shared" si="42"/>
        <v>3868.9</v>
      </c>
    </row>
    <row r="332" spans="1:33" hidden="1" x14ac:dyDescent="0.25">
      <c r="A332" t="s">
        <v>26</v>
      </c>
      <c r="B332">
        <v>2022</v>
      </c>
      <c r="C332" t="s">
        <v>32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192.8</v>
      </c>
      <c r="Q332">
        <v>177.5</v>
      </c>
      <c r="R332">
        <v>175.1</v>
      </c>
      <c r="T332">
        <v>173.3</v>
      </c>
      <c r="U332">
        <v>167.7</v>
      </c>
      <c r="V332">
        <v>177</v>
      </c>
      <c r="W332">
        <v>166.2</v>
      </c>
      <c r="X332">
        <v>167.2</v>
      </c>
      <c r="Y332">
        <v>170.9</v>
      </c>
      <c r="Z332">
        <v>169</v>
      </c>
      <c r="AA332">
        <v>170.8</v>
      </c>
      <c r="AB332">
        <f t="shared" si="39"/>
        <v>2038</v>
      </c>
      <c r="AD332">
        <v>173.3</v>
      </c>
      <c r="AE332">
        <f t="shared" si="40"/>
        <v>352.6</v>
      </c>
      <c r="AF332">
        <f t="shared" si="41"/>
        <v>1210.8</v>
      </c>
      <c r="AG332">
        <f t="shared" si="42"/>
        <v>3774.7</v>
      </c>
    </row>
    <row r="333" spans="1:33" hidden="1" x14ac:dyDescent="0.25">
      <c r="A333" t="s">
        <v>28</v>
      </c>
      <c r="B333">
        <v>2022</v>
      </c>
      <c r="C333" t="s">
        <v>32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197.1</v>
      </c>
      <c r="Q333">
        <v>168.4</v>
      </c>
      <c r="R333">
        <v>154.5</v>
      </c>
      <c r="S333">
        <v>167</v>
      </c>
      <c r="T333">
        <v>170.5</v>
      </c>
      <c r="U333">
        <v>159.80000000000001</v>
      </c>
      <c r="V333">
        <v>169</v>
      </c>
      <c r="W333">
        <v>159.30000000000001</v>
      </c>
      <c r="X333">
        <v>162.19999999999999</v>
      </c>
      <c r="Y333">
        <v>164</v>
      </c>
      <c r="Z333">
        <v>168.4</v>
      </c>
      <c r="AA333">
        <v>169.2</v>
      </c>
      <c r="AB333">
        <f t="shared" si="39"/>
        <v>2055.9</v>
      </c>
      <c r="AC333">
        <v>167</v>
      </c>
      <c r="AD333">
        <v>170.5</v>
      </c>
      <c r="AE333">
        <f t="shared" si="40"/>
        <v>322.89999999999998</v>
      </c>
      <c r="AF333">
        <f t="shared" si="41"/>
        <v>1179.8</v>
      </c>
      <c r="AG333">
        <f t="shared" si="42"/>
        <v>3896.1000000000004</v>
      </c>
    </row>
    <row r="334" spans="1:33" x14ac:dyDescent="0.25">
      <c r="A334" t="s">
        <v>29</v>
      </c>
      <c r="B334">
        <v>2022</v>
      </c>
      <c r="C334" t="s">
        <v>32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193.9</v>
      </c>
      <c r="Q334">
        <v>173.9</v>
      </c>
      <c r="R334">
        <v>166.5</v>
      </c>
      <c r="S334">
        <v>167</v>
      </c>
      <c r="T334">
        <v>172.2</v>
      </c>
      <c r="U334">
        <v>164</v>
      </c>
      <c r="V334">
        <v>174</v>
      </c>
      <c r="W334">
        <v>162.6</v>
      </c>
      <c r="X334">
        <v>164.4</v>
      </c>
      <c r="Y334">
        <v>166.9</v>
      </c>
      <c r="Z334">
        <v>168.8</v>
      </c>
      <c r="AA334">
        <v>170.1</v>
      </c>
      <c r="AB334">
        <f t="shared" si="39"/>
        <v>2043.5000000000002</v>
      </c>
      <c r="AC334">
        <v>167</v>
      </c>
      <c r="AD334">
        <v>172.2</v>
      </c>
      <c r="AE334">
        <f t="shared" si="40"/>
        <v>340.4</v>
      </c>
      <c r="AF334">
        <f t="shared" si="41"/>
        <v>1194.6000000000001</v>
      </c>
      <c r="AG334">
        <f t="shared" si="42"/>
        <v>3917.7</v>
      </c>
    </row>
    <row r="335" spans="1:33" hidden="1" x14ac:dyDescent="0.25">
      <c r="A335" t="s">
        <v>26</v>
      </c>
      <c r="B335">
        <v>2022</v>
      </c>
      <c r="C335" t="s">
        <v>33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192.9</v>
      </c>
      <c r="Q335">
        <v>179.3</v>
      </c>
      <c r="R335">
        <v>177.2</v>
      </c>
      <c r="T335">
        <v>175.3</v>
      </c>
      <c r="U335">
        <v>168.9</v>
      </c>
      <c r="V335">
        <v>177.7</v>
      </c>
      <c r="W335">
        <v>167.1</v>
      </c>
      <c r="X335">
        <v>167.6</v>
      </c>
      <c r="Y335">
        <v>171.8</v>
      </c>
      <c r="Z335">
        <v>168.5</v>
      </c>
      <c r="AA335">
        <v>172.5</v>
      </c>
      <c r="AB335">
        <f t="shared" si="39"/>
        <v>2056</v>
      </c>
      <c r="AD335">
        <v>175.3</v>
      </c>
      <c r="AE335">
        <f t="shared" si="40"/>
        <v>356.5</v>
      </c>
      <c r="AF335">
        <f t="shared" si="41"/>
        <v>1214.5000000000002</v>
      </c>
      <c r="AG335">
        <f t="shared" si="42"/>
        <v>3802.3</v>
      </c>
    </row>
    <row r="336" spans="1:33" hidden="1" x14ac:dyDescent="0.25">
      <c r="A336" t="s">
        <v>28</v>
      </c>
      <c r="B336">
        <v>2022</v>
      </c>
      <c r="C336" t="s">
        <v>33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197.5</v>
      </c>
      <c r="Q336">
        <v>170</v>
      </c>
      <c r="R336">
        <v>155.9</v>
      </c>
      <c r="S336">
        <v>167.5</v>
      </c>
      <c r="T336">
        <v>173.5</v>
      </c>
      <c r="U336">
        <v>161.1</v>
      </c>
      <c r="V336">
        <v>170.1</v>
      </c>
      <c r="W336">
        <v>159.4</v>
      </c>
      <c r="X336">
        <v>163.19999999999999</v>
      </c>
      <c r="Y336">
        <v>165.2</v>
      </c>
      <c r="Z336">
        <v>168.2</v>
      </c>
      <c r="AA336">
        <v>170.8</v>
      </c>
      <c r="AB336">
        <f t="shared" si="39"/>
        <v>2084.7000000000003</v>
      </c>
      <c r="AC336">
        <v>167.5</v>
      </c>
      <c r="AD336">
        <v>173.5</v>
      </c>
      <c r="AE336">
        <f t="shared" si="40"/>
        <v>325.89999999999998</v>
      </c>
      <c r="AF336">
        <f t="shared" si="41"/>
        <v>1184.7</v>
      </c>
      <c r="AG336">
        <f t="shared" si="42"/>
        <v>3936.3</v>
      </c>
    </row>
    <row r="337" spans="1:33" x14ac:dyDescent="0.25">
      <c r="A337" t="s">
        <v>29</v>
      </c>
      <c r="B337">
        <v>2022</v>
      </c>
      <c r="C337" t="s">
        <v>33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194.1</v>
      </c>
      <c r="Q337">
        <v>175.6</v>
      </c>
      <c r="R337">
        <v>168.4</v>
      </c>
      <c r="S337">
        <v>167.5</v>
      </c>
      <c r="T337">
        <v>174.6</v>
      </c>
      <c r="U337">
        <v>165.2</v>
      </c>
      <c r="V337">
        <v>174.8</v>
      </c>
      <c r="W337">
        <v>163</v>
      </c>
      <c r="X337">
        <v>165.1</v>
      </c>
      <c r="Y337">
        <v>167.9</v>
      </c>
      <c r="Z337">
        <v>168.4</v>
      </c>
      <c r="AA337">
        <v>171.7</v>
      </c>
      <c r="AB337">
        <f t="shared" si="39"/>
        <v>2065.6000000000004</v>
      </c>
      <c r="AC337">
        <v>167.5</v>
      </c>
      <c r="AD337">
        <v>174.6</v>
      </c>
      <c r="AE337">
        <f t="shared" si="40"/>
        <v>344</v>
      </c>
      <c r="AF337">
        <f t="shared" si="41"/>
        <v>1198.5</v>
      </c>
      <c r="AG337">
        <f t="shared" si="42"/>
        <v>3950.2000000000003</v>
      </c>
    </row>
    <row r="338" spans="1:33" hidden="1" x14ac:dyDescent="0.25">
      <c r="A338" t="s">
        <v>26</v>
      </c>
      <c r="B338">
        <v>2022</v>
      </c>
      <c r="C338" t="s">
        <v>34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192.9</v>
      </c>
      <c r="Q338">
        <v>180.7</v>
      </c>
      <c r="R338">
        <v>178.7</v>
      </c>
      <c r="T338">
        <v>176.7</v>
      </c>
      <c r="U338">
        <v>170.3</v>
      </c>
      <c r="V338">
        <v>178.2</v>
      </c>
      <c r="W338">
        <v>165.5</v>
      </c>
      <c r="X338">
        <v>168</v>
      </c>
      <c r="Y338">
        <v>172.6</v>
      </c>
      <c r="Z338">
        <v>169.5</v>
      </c>
      <c r="AA338">
        <v>173.6</v>
      </c>
      <c r="AB338">
        <f t="shared" si="39"/>
        <v>2075.9</v>
      </c>
      <c r="AD338">
        <v>176.7</v>
      </c>
      <c r="AE338">
        <f t="shared" si="40"/>
        <v>359.4</v>
      </c>
      <c r="AF338">
        <f t="shared" si="41"/>
        <v>1217</v>
      </c>
      <c r="AG338">
        <f t="shared" si="42"/>
        <v>3829</v>
      </c>
    </row>
    <row r="339" spans="1:33" hidden="1" x14ac:dyDescent="0.25">
      <c r="A339" t="s">
        <v>28</v>
      </c>
      <c r="B339">
        <v>2022</v>
      </c>
      <c r="C339" t="s">
        <v>34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198.3</v>
      </c>
      <c r="Q339">
        <v>171.6</v>
      </c>
      <c r="R339">
        <v>157.4</v>
      </c>
      <c r="S339">
        <v>166.8</v>
      </c>
      <c r="T339">
        <v>174.9</v>
      </c>
      <c r="U339">
        <v>162.1</v>
      </c>
      <c r="V339">
        <v>170.9</v>
      </c>
      <c r="W339">
        <v>157.19999999999999</v>
      </c>
      <c r="X339">
        <v>164.1</v>
      </c>
      <c r="Y339">
        <v>166.5</v>
      </c>
      <c r="Z339">
        <v>169.2</v>
      </c>
      <c r="AA339">
        <v>171.4</v>
      </c>
      <c r="AB339">
        <f t="shared" si="39"/>
        <v>2108.1999999999998</v>
      </c>
      <c r="AC339">
        <v>166.8</v>
      </c>
      <c r="AD339">
        <v>174.9</v>
      </c>
      <c r="AE339">
        <f t="shared" si="40"/>
        <v>329</v>
      </c>
      <c r="AF339">
        <f t="shared" si="41"/>
        <v>1188.3</v>
      </c>
      <c r="AG339">
        <f t="shared" si="42"/>
        <v>3967.2</v>
      </c>
    </row>
    <row r="340" spans="1:33" x14ac:dyDescent="0.25">
      <c r="A340" t="s">
        <v>29</v>
      </c>
      <c r="B340">
        <v>2022</v>
      </c>
      <c r="C340" t="s">
        <v>34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194.3</v>
      </c>
      <c r="Q340">
        <v>177.1</v>
      </c>
      <c r="R340">
        <v>169.9</v>
      </c>
      <c r="S340">
        <v>166.8</v>
      </c>
      <c r="T340">
        <v>176</v>
      </c>
      <c r="U340">
        <v>166.4</v>
      </c>
      <c r="V340">
        <v>175.4</v>
      </c>
      <c r="W340">
        <v>161.1</v>
      </c>
      <c r="X340">
        <v>165.8</v>
      </c>
      <c r="Y340">
        <v>169</v>
      </c>
      <c r="Z340">
        <v>169.4</v>
      </c>
      <c r="AA340">
        <v>172.6</v>
      </c>
      <c r="AB340">
        <f t="shared" si="39"/>
        <v>2087</v>
      </c>
      <c r="AC340">
        <v>166.8</v>
      </c>
      <c r="AD340">
        <v>176</v>
      </c>
      <c r="AE340">
        <f t="shared" si="40"/>
        <v>347</v>
      </c>
      <c r="AF340">
        <f t="shared" si="41"/>
        <v>1201.4000000000001</v>
      </c>
      <c r="AG340">
        <f t="shared" si="42"/>
        <v>3978.2000000000003</v>
      </c>
    </row>
    <row r="341" spans="1:33" hidden="1" x14ac:dyDescent="0.25">
      <c r="A341" t="s">
        <v>26</v>
      </c>
      <c r="B341">
        <v>2022</v>
      </c>
      <c r="C341" t="s">
        <v>35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193.2</v>
      </c>
      <c r="Q341">
        <v>182</v>
      </c>
      <c r="R341">
        <v>180.3</v>
      </c>
      <c r="T341">
        <v>179.6</v>
      </c>
      <c r="U341">
        <v>171.3</v>
      </c>
      <c r="V341">
        <v>178.8</v>
      </c>
      <c r="W341">
        <v>166.3</v>
      </c>
      <c r="X341">
        <v>168.6</v>
      </c>
      <c r="Y341">
        <v>174.7</v>
      </c>
      <c r="Z341">
        <v>169.7</v>
      </c>
      <c r="AA341">
        <v>174.3</v>
      </c>
      <c r="AB341">
        <f t="shared" si="39"/>
        <v>2080</v>
      </c>
      <c r="AD341">
        <v>179.6</v>
      </c>
      <c r="AE341">
        <f t="shared" si="40"/>
        <v>362.3</v>
      </c>
      <c r="AF341">
        <f t="shared" si="41"/>
        <v>1222.6000000000001</v>
      </c>
      <c r="AG341">
        <f t="shared" si="42"/>
        <v>3844.5</v>
      </c>
    </row>
    <row r="342" spans="1:33" hidden="1" x14ac:dyDescent="0.25">
      <c r="A342" t="s">
        <v>28</v>
      </c>
      <c r="B342">
        <v>2022</v>
      </c>
      <c r="C342" t="s">
        <v>35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198.6</v>
      </c>
      <c r="Q342">
        <v>172.7</v>
      </c>
      <c r="R342">
        <v>158.69999999999999</v>
      </c>
      <c r="S342">
        <v>167.8</v>
      </c>
      <c r="T342">
        <v>179.5</v>
      </c>
      <c r="U342">
        <v>163.1</v>
      </c>
      <c r="V342">
        <v>171.7</v>
      </c>
      <c r="W342">
        <v>157.4</v>
      </c>
      <c r="X342">
        <v>164.6</v>
      </c>
      <c r="Y342">
        <v>169.1</v>
      </c>
      <c r="Z342">
        <v>169.8</v>
      </c>
      <c r="AA342">
        <v>172.3</v>
      </c>
      <c r="AB342">
        <f t="shared" si="39"/>
        <v>2112.1999999999998</v>
      </c>
      <c r="AC342">
        <v>167.8</v>
      </c>
      <c r="AD342">
        <v>179.5</v>
      </c>
      <c r="AE342">
        <f t="shared" si="40"/>
        <v>331.4</v>
      </c>
      <c r="AF342">
        <f t="shared" si="41"/>
        <v>1194.3</v>
      </c>
      <c r="AG342">
        <f t="shared" si="42"/>
        <v>3985.2</v>
      </c>
    </row>
    <row r="343" spans="1:33" x14ac:dyDescent="0.25">
      <c r="A343" t="s">
        <v>29</v>
      </c>
      <c r="B343">
        <v>2022</v>
      </c>
      <c r="C343" t="s">
        <v>35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194.6</v>
      </c>
      <c r="Q343">
        <v>178.3</v>
      </c>
      <c r="R343">
        <v>171.3</v>
      </c>
      <c r="S343">
        <v>167.8</v>
      </c>
      <c r="T343">
        <v>179.6</v>
      </c>
      <c r="U343">
        <v>167.4</v>
      </c>
      <c r="V343">
        <v>176.1</v>
      </c>
      <c r="W343">
        <v>161.6</v>
      </c>
      <c r="X343">
        <v>166.3</v>
      </c>
      <c r="Y343">
        <v>171.4</v>
      </c>
      <c r="Z343">
        <v>169.7</v>
      </c>
      <c r="AA343">
        <v>173.4</v>
      </c>
      <c r="AB343">
        <f t="shared" si="39"/>
        <v>2091.3000000000002</v>
      </c>
      <c r="AC343">
        <v>167.8</v>
      </c>
      <c r="AD343">
        <v>179.6</v>
      </c>
      <c r="AE343">
        <f t="shared" si="40"/>
        <v>349.6</v>
      </c>
      <c r="AF343">
        <f t="shared" si="41"/>
        <v>1207.0999999999999</v>
      </c>
      <c r="AG343">
        <f t="shared" si="42"/>
        <v>3995.4</v>
      </c>
    </row>
    <row r="344" spans="1:33" hidden="1" x14ac:dyDescent="0.25">
      <c r="A344" t="s">
        <v>26</v>
      </c>
      <c r="B344">
        <v>2022</v>
      </c>
      <c r="C344" t="s">
        <v>36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193.7</v>
      </c>
      <c r="Q344">
        <v>183.2</v>
      </c>
      <c r="R344">
        <v>181.7</v>
      </c>
      <c r="T344">
        <v>179.1</v>
      </c>
      <c r="U344">
        <v>172.3</v>
      </c>
      <c r="V344">
        <v>179.4</v>
      </c>
      <c r="W344">
        <v>166.6</v>
      </c>
      <c r="X344">
        <v>169.3</v>
      </c>
      <c r="Y344">
        <v>175.7</v>
      </c>
      <c r="Z344">
        <v>171.1</v>
      </c>
      <c r="AA344">
        <v>175.3</v>
      </c>
      <c r="AB344">
        <f t="shared" si="39"/>
        <v>2081.8999999999996</v>
      </c>
      <c r="AD344">
        <v>179.1</v>
      </c>
      <c r="AE344">
        <f t="shared" si="40"/>
        <v>364.9</v>
      </c>
      <c r="AF344">
        <f t="shared" si="41"/>
        <v>1228.1000000000001</v>
      </c>
      <c r="AG344">
        <f t="shared" si="42"/>
        <v>3854</v>
      </c>
    </row>
    <row r="345" spans="1:33" hidden="1" x14ac:dyDescent="0.25">
      <c r="A345" t="s">
        <v>28</v>
      </c>
      <c r="B345">
        <v>2022</v>
      </c>
      <c r="C345" t="s">
        <v>36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198.7</v>
      </c>
      <c r="Q345">
        <v>173.7</v>
      </c>
      <c r="R345">
        <v>160</v>
      </c>
      <c r="S345">
        <v>169</v>
      </c>
      <c r="T345">
        <v>178.4</v>
      </c>
      <c r="U345">
        <v>164.2</v>
      </c>
      <c r="V345">
        <v>172.6</v>
      </c>
      <c r="W345">
        <v>157.69999999999999</v>
      </c>
      <c r="X345">
        <v>165.1</v>
      </c>
      <c r="Y345">
        <v>169.9</v>
      </c>
      <c r="Z345">
        <v>171.4</v>
      </c>
      <c r="AA345">
        <v>173.1</v>
      </c>
      <c r="AB345">
        <f t="shared" si="39"/>
        <v>2113.2999999999997</v>
      </c>
      <c r="AC345">
        <v>169</v>
      </c>
      <c r="AD345">
        <v>178.4</v>
      </c>
      <c r="AE345">
        <f t="shared" si="40"/>
        <v>333.7</v>
      </c>
      <c r="AF345">
        <f t="shared" si="41"/>
        <v>1199.5999999999999</v>
      </c>
      <c r="AG345">
        <f t="shared" si="42"/>
        <v>3993.9999999999995</v>
      </c>
    </row>
    <row r="346" spans="1:33" x14ac:dyDescent="0.25">
      <c r="A346" t="s">
        <v>29</v>
      </c>
      <c r="B346">
        <v>2022</v>
      </c>
      <c r="C346" t="s">
        <v>36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195</v>
      </c>
      <c r="Q346">
        <v>179.5</v>
      </c>
      <c r="R346">
        <v>172.7</v>
      </c>
      <c r="S346">
        <v>169</v>
      </c>
      <c r="T346">
        <v>178.8</v>
      </c>
      <c r="U346">
        <v>168.5</v>
      </c>
      <c r="V346">
        <v>176.8</v>
      </c>
      <c r="W346">
        <v>161.9</v>
      </c>
      <c r="X346">
        <v>166.9</v>
      </c>
      <c r="Y346">
        <v>172.3</v>
      </c>
      <c r="Z346">
        <v>171.2</v>
      </c>
      <c r="AA346">
        <v>174.3</v>
      </c>
      <c r="AB346">
        <f t="shared" si="39"/>
        <v>2092.9</v>
      </c>
      <c r="AC346">
        <v>169</v>
      </c>
      <c r="AD346">
        <v>178.8</v>
      </c>
      <c r="AE346">
        <f t="shared" si="40"/>
        <v>352.2</v>
      </c>
      <c r="AF346">
        <f t="shared" si="41"/>
        <v>1212.6000000000001</v>
      </c>
      <c r="AG346">
        <f t="shared" si="42"/>
        <v>4005.5</v>
      </c>
    </row>
    <row r="347" spans="1:33" hidden="1" x14ac:dyDescent="0.25">
      <c r="A347" t="s">
        <v>26</v>
      </c>
      <c r="B347">
        <v>2022</v>
      </c>
      <c r="C347" t="s">
        <v>37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194.5</v>
      </c>
      <c r="Q347">
        <v>184.7</v>
      </c>
      <c r="R347">
        <v>183.3</v>
      </c>
      <c r="T347">
        <v>179.7</v>
      </c>
      <c r="U347">
        <v>173.6</v>
      </c>
      <c r="V347">
        <v>180.2</v>
      </c>
      <c r="W347">
        <v>166.9</v>
      </c>
      <c r="X347">
        <v>170</v>
      </c>
      <c r="Y347">
        <v>176.2</v>
      </c>
      <c r="Z347">
        <v>170.8</v>
      </c>
      <c r="AA347">
        <v>176.4</v>
      </c>
      <c r="AB347">
        <f t="shared" si="39"/>
        <v>2092.3000000000002</v>
      </c>
      <c r="AD347">
        <v>179.7</v>
      </c>
      <c r="AE347">
        <f t="shared" si="40"/>
        <v>368</v>
      </c>
      <c r="AF347">
        <f t="shared" si="41"/>
        <v>1232.1999999999998</v>
      </c>
      <c r="AG347">
        <f t="shared" si="42"/>
        <v>3872.2</v>
      </c>
    </row>
    <row r="348" spans="1:33" hidden="1" x14ac:dyDescent="0.25">
      <c r="A348" t="s">
        <v>28</v>
      </c>
      <c r="B348">
        <v>2022</v>
      </c>
      <c r="C348" t="s">
        <v>37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199.7</v>
      </c>
      <c r="Q348">
        <v>175</v>
      </c>
      <c r="R348">
        <v>161.69999999999999</v>
      </c>
      <c r="S348">
        <v>169.5</v>
      </c>
      <c r="T348">
        <v>179.2</v>
      </c>
      <c r="U348">
        <v>165</v>
      </c>
      <c r="V348">
        <v>173.8</v>
      </c>
      <c r="W348">
        <v>158.19999999999999</v>
      </c>
      <c r="X348">
        <v>165.8</v>
      </c>
      <c r="Y348">
        <v>170.9</v>
      </c>
      <c r="Z348">
        <v>171.1</v>
      </c>
      <c r="AA348">
        <v>174.1</v>
      </c>
      <c r="AB348">
        <f t="shared" si="39"/>
        <v>2124.6</v>
      </c>
      <c r="AC348">
        <v>169.5</v>
      </c>
      <c r="AD348">
        <v>179.2</v>
      </c>
      <c r="AE348">
        <f t="shared" si="40"/>
        <v>336.7</v>
      </c>
      <c r="AF348">
        <f t="shared" si="41"/>
        <v>1204.5</v>
      </c>
      <c r="AG348">
        <f t="shared" si="42"/>
        <v>4014.4999999999995</v>
      </c>
    </row>
    <row r="349" spans="1:33" x14ac:dyDescent="0.25">
      <c r="A349" t="s">
        <v>29</v>
      </c>
      <c r="B349">
        <v>2022</v>
      </c>
      <c r="C349" t="s">
        <v>37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195.9</v>
      </c>
      <c r="Q349">
        <v>180.9</v>
      </c>
      <c r="R349">
        <v>174.3</v>
      </c>
      <c r="S349">
        <v>169.5</v>
      </c>
      <c r="T349">
        <v>179.5</v>
      </c>
      <c r="U349">
        <v>169.5</v>
      </c>
      <c r="V349">
        <v>177.8</v>
      </c>
      <c r="W349">
        <v>162.30000000000001</v>
      </c>
      <c r="X349">
        <v>167.6</v>
      </c>
      <c r="Y349">
        <v>173.1</v>
      </c>
      <c r="Z349">
        <v>170.9</v>
      </c>
      <c r="AA349">
        <v>175.3</v>
      </c>
      <c r="AB349">
        <f t="shared" si="39"/>
        <v>2103.1</v>
      </c>
      <c r="AC349">
        <v>169.5</v>
      </c>
      <c r="AD349">
        <v>179.5</v>
      </c>
      <c r="AE349">
        <f t="shared" si="40"/>
        <v>355.20000000000005</v>
      </c>
      <c r="AF349">
        <f t="shared" si="41"/>
        <v>1217.1000000000001</v>
      </c>
      <c r="AG349">
        <f t="shared" si="42"/>
        <v>4024.4000000000005</v>
      </c>
    </row>
    <row r="350" spans="1:33" hidden="1" x14ac:dyDescent="0.25">
      <c r="A350" t="s">
        <v>26</v>
      </c>
      <c r="B350">
        <v>2022</v>
      </c>
      <c r="C350" t="s">
        <v>38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194.9</v>
      </c>
      <c r="Q350">
        <v>186.1</v>
      </c>
      <c r="R350">
        <v>184.4</v>
      </c>
      <c r="T350">
        <v>180.8</v>
      </c>
      <c r="U350">
        <v>174.4</v>
      </c>
      <c r="V350">
        <v>181.2</v>
      </c>
      <c r="W350">
        <v>167.4</v>
      </c>
      <c r="X350">
        <v>170.6</v>
      </c>
      <c r="Y350">
        <v>176.5</v>
      </c>
      <c r="Z350">
        <v>172</v>
      </c>
      <c r="AA350">
        <v>177.9</v>
      </c>
      <c r="AB350">
        <f t="shared" si="39"/>
        <v>2107.1</v>
      </c>
      <c r="AD350">
        <v>180.8</v>
      </c>
      <c r="AE350">
        <f t="shared" si="40"/>
        <v>370.5</v>
      </c>
      <c r="AF350">
        <f t="shared" si="41"/>
        <v>1237</v>
      </c>
      <c r="AG350">
        <f t="shared" si="42"/>
        <v>3895.4</v>
      </c>
    </row>
    <row r="351" spans="1:33" hidden="1" x14ac:dyDescent="0.25">
      <c r="A351" t="s">
        <v>28</v>
      </c>
      <c r="B351">
        <v>2022</v>
      </c>
      <c r="C351" t="s">
        <v>38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200.1</v>
      </c>
      <c r="Q351">
        <v>175.5</v>
      </c>
      <c r="R351">
        <v>162.6</v>
      </c>
      <c r="S351">
        <v>171.2</v>
      </c>
      <c r="T351">
        <v>180</v>
      </c>
      <c r="U351">
        <v>166</v>
      </c>
      <c r="V351">
        <v>174.7</v>
      </c>
      <c r="W351">
        <v>158.80000000000001</v>
      </c>
      <c r="X351">
        <v>166.3</v>
      </c>
      <c r="Y351">
        <v>171.2</v>
      </c>
      <c r="Z351">
        <v>172.3</v>
      </c>
      <c r="AA351">
        <v>175.3</v>
      </c>
      <c r="AB351">
        <f t="shared" si="39"/>
        <v>2139</v>
      </c>
      <c r="AC351">
        <v>171.2</v>
      </c>
      <c r="AD351">
        <v>180</v>
      </c>
      <c r="AE351">
        <f t="shared" si="40"/>
        <v>338.1</v>
      </c>
      <c r="AF351">
        <f t="shared" si="41"/>
        <v>1209.3999999999999</v>
      </c>
      <c r="AG351">
        <f t="shared" si="42"/>
        <v>4037.7</v>
      </c>
    </row>
    <row r="352" spans="1:33" x14ac:dyDescent="0.25">
      <c r="A352" t="s">
        <v>29</v>
      </c>
      <c r="B352">
        <v>2022</v>
      </c>
      <c r="C352" t="s">
        <v>38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196.3</v>
      </c>
      <c r="Q352">
        <v>181.9</v>
      </c>
      <c r="R352">
        <v>175.3</v>
      </c>
      <c r="S352">
        <v>171.2</v>
      </c>
      <c r="T352">
        <v>180.5</v>
      </c>
      <c r="U352">
        <v>170.4</v>
      </c>
      <c r="V352">
        <v>178.7</v>
      </c>
      <c r="W352">
        <v>162.9</v>
      </c>
      <c r="X352">
        <v>168.2</v>
      </c>
      <c r="Y352">
        <v>173.4</v>
      </c>
      <c r="Z352">
        <v>172.1</v>
      </c>
      <c r="AA352">
        <v>176.7</v>
      </c>
      <c r="AB352">
        <f t="shared" si="39"/>
        <v>2117.7000000000003</v>
      </c>
      <c r="AC352">
        <v>171.2</v>
      </c>
      <c r="AD352">
        <v>180.5</v>
      </c>
      <c r="AE352">
        <f t="shared" si="40"/>
        <v>357.20000000000005</v>
      </c>
      <c r="AF352">
        <f t="shared" si="41"/>
        <v>1222</v>
      </c>
      <c r="AG352">
        <f t="shared" si="42"/>
        <v>4048.6000000000004</v>
      </c>
    </row>
    <row r="353" spans="1:33" hidden="1" x14ac:dyDescent="0.25">
      <c r="A353" t="s">
        <v>26</v>
      </c>
      <c r="B353">
        <v>2022</v>
      </c>
      <c r="C353" t="s">
        <v>40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195.5</v>
      </c>
      <c r="Q353">
        <v>187.2</v>
      </c>
      <c r="R353">
        <v>185.2</v>
      </c>
      <c r="T353">
        <v>181.9</v>
      </c>
      <c r="U353">
        <v>175.5</v>
      </c>
      <c r="V353">
        <v>182.3</v>
      </c>
      <c r="W353">
        <v>167.5</v>
      </c>
      <c r="X353">
        <v>170.8</v>
      </c>
      <c r="Y353">
        <v>176.9</v>
      </c>
      <c r="Z353">
        <v>173.4</v>
      </c>
      <c r="AA353">
        <v>177.8</v>
      </c>
      <c r="AB353">
        <f t="shared" si="39"/>
        <v>2111.1</v>
      </c>
      <c r="AD353">
        <v>181.9</v>
      </c>
      <c r="AE353">
        <f t="shared" si="40"/>
        <v>372.4</v>
      </c>
      <c r="AF353">
        <f t="shared" si="41"/>
        <v>1241.8999999999999</v>
      </c>
      <c r="AG353">
        <f t="shared" si="42"/>
        <v>3907.3</v>
      </c>
    </row>
    <row r="354" spans="1:33" hidden="1" x14ac:dyDescent="0.25">
      <c r="A354" t="s">
        <v>28</v>
      </c>
      <c r="B354">
        <v>2022</v>
      </c>
      <c r="C354" t="s">
        <v>40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200.6</v>
      </c>
      <c r="Q354">
        <v>176.7</v>
      </c>
      <c r="R354">
        <v>163.5</v>
      </c>
      <c r="S354">
        <v>171.8</v>
      </c>
      <c r="T354">
        <v>180.3</v>
      </c>
      <c r="U354">
        <v>166.9</v>
      </c>
      <c r="V354">
        <v>175.8</v>
      </c>
      <c r="W354">
        <v>158.9</v>
      </c>
      <c r="X354">
        <v>166.7</v>
      </c>
      <c r="Y354">
        <v>171.5</v>
      </c>
      <c r="Z354">
        <v>173.8</v>
      </c>
      <c r="AA354">
        <v>174.1</v>
      </c>
      <c r="AB354">
        <f t="shared" si="39"/>
        <v>2133.1</v>
      </c>
      <c r="AC354">
        <v>171.8</v>
      </c>
      <c r="AD354">
        <v>180.3</v>
      </c>
      <c r="AE354">
        <f t="shared" si="40"/>
        <v>340.2</v>
      </c>
      <c r="AF354">
        <f t="shared" si="41"/>
        <v>1214.1999999999998</v>
      </c>
      <c r="AG354">
        <f t="shared" si="42"/>
        <v>4039.6</v>
      </c>
    </row>
    <row r="355" spans="1:33" x14ac:dyDescent="0.25">
      <c r="A355" t="s">
        <v>29</v>
      </c>
      <c r="B355">
        <v>2022</v>
      </c>
      <c r="C355" t="s">
        <v>40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196.9</v>
      </c>
      <c r="Q355">
        <v>183.1</v>
      </c>
      <c r="R355">
        <v>176.2</v>
      </c>
      <c r="S355">
        <v>171.8</v>
      </c>
      <c r="T355">
        <v>181.3</v>
      </c>
      <c r="U355">
        <v>171.4</v>
      </c>
      <c r="V355">
        <v>179.8</v>
      </c>
      <c r="W355">
        <v>163</v>
      </c>
      <c r="X355">
        <v>168.5</v>
      </c>
      <c r="Y355">
        <v>173.7</v>
      </c>
      <c r="Z355">
        <v>173.6</v>
      </c>
      <c r="AA355">
        <v>176.5</v>
      </c>
      <c r="AB355">
        <f t="shared" si="39"/>
        <v>2118.5</v>
      </c>
      <c r="AC355">
        <v>171.8</v>
      </c>
      <c r="AD355">
        <v>181.3</v>
      </c>
      <c r="AE355">
        <f t="shared" si="40"/>
        <v>359.29999999999995</v>
      </c>
      <c r="AF355">
        <f t="shared" si="41"/>
        <v>1226.9000000000001</v>
      </c>
      <c r="AG355">
        <f t="shared" si="42"/>
        <v>4057.8000000000006</v>
      </c>
    </row>
    <row r="356" spans="1:33" hidden="1" x14ac:dyDescent="0.25">
      <c r="A356" t="s">
        <v>26</v>
      </c>
      <c r="B356">
        <v>2022</v>
      </c>
      <c r="C356" t="s">
        <v>41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195.9</v>
      </c>
      <c r="Q356">
        <v>188.1</v>
      </c>
      <c r="R356">
        <v>185.9</v>
      </c>
      <c r="T356">
        <v>182.8</v>
      </c>
      <c r="U356">
        <v>176.4</v>
      </c>
      <c r="V356">
        <v>183.5</v>
      </c>
      <c r="W356">
        <v>167.8</v>
      </c>
      <c r="X356">
        <v>171.2</v>
      </c>
      <c r="Y356">
        <v>177.3</v>
      </c>
      <c r="Z356">
        <v>175.7</v>
      </c>
      <c r="AA356">
        <v>177.1</v>
      </c>
      <c r="AB356">
        <f t="shared" si="39"/>
        <v>2102.6999999999998</v>
      </c>
      <c r="AD356">
        <v>182.8</v>
      </c>
      <c r="AE356">
        <f t="shared" si="40"/>
        <v>374</v>
      </c>
      <c r="AF356">
        <f t="shared" si="41"/>
        <v>1247.8000000000002</v>
      </c>
      <c r="AG356">
        <f t="shared" si="42"/>
        <v>3907.3</v>
      </c>
    </row>
    <row r="357" spans="1:33" hidden="1" x14ac:dyDescent="0.25">
      <c r="A357" t="s">
        <v>28</v>
      </c>
      <c r="B357">
        <v>2022</v>
      </c>
      <c r="C357" t="s">
        <v>41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201.1</v>
      </c>
      <c r="Q357">
        <v>177.7</v>
      </c>
      <c r="R357">
        <v>164.5</v>
      </c>
      <c r="S357">
        <v>170.7</v>
      </c>
      <c r="T357">
        <v>180.6</v>
      </c>
      <c r="U357">
        <v>167.3</v>
      </c>
      <c r="V357">
        <v>177.2</v>
      </c>
      <c r="W357">
        <v>159.4</v>
      </c>
      <c r="X357">
        <v>167.1</v>
      </c>
      <c r="Y357">
        <v>171.8</v>
      </c>
      <c r="Z357">
        <v>176</v>
      </c>
      <c r="AA357">
        <v>174.1</v>
      </c>
      <c r="AB357">
        <f t="shared" si="39"/>
        <v>2117.1999999999998</v>
      </c>
      <c r="AC357">
        <v>170.7</v>
      </c>
      <c r="AD357">
        <v>180.6</v>
      </c>
      <c r="AE357">
        <f t="shared" si="40"/>
        <v>342.2</v>
      </c>
      <c r="AF357">
        <f t="shared" si="41"/>
        <v>1219.8999999999999</v>
      </c>
      <c r="AG357">
        <f t="shared" si="42"/>
        <v>4030.5999999999995</v>
      </c>
    </row>
    <row r="358" spans="1:33" x14ac:dyDescent="0.25">
      <c r="A358" t="s">
        <v>29</v>
      </c>
      <c r="B358">
        <v>2022</v>
      </c>
      <c r="C358" t="s">
        <v>41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197.3</v>
      </c>
      <c r="Q358">
        <v>184</v>
      </c>
      <c r="R358">
        <v>177</v>
      </c>
      <c r="S358">
        <v>170.7</v>
      </c>
      <c r="T358">
        <v>182</v>
      </c>
      <c r="U358">
        <v>172.1</v>
      </c>
      <c r="V358">
        <v>181.1</v>
      </c>
      <c r="W358">
        <v>163.4</v>
      </c>
      <c r="X358">
        <v>168.9</v>
      </c>
      <c r="Y358">
        <v>174.1</v>
      </c>
      <c r="Z358">
        <v>175.8</v>
      </c>
      <c r="AA358">
        <v>175.7</v>
      </c>
      <c r="AB358">
        <f t="shared" si="39"/>
        <v>2107.5</v>
      </c>
      <c r="AC358">
        <v>170.7</v>
      </c>
      <c r="AD358">
        <v>182</v>
      </c>
      <c r="AE358">
        <f t="shared" si="40"/>
        <v>361</v>
      </c>
      <c r="AF358">
        <f t="shared" si="41"/>
        <v>1232.7</v>
      </c>
      <c r="AG358">
        <f t="shared" si="42"/>
        <v>4053.8999999999996</v>
      </c>
    </row>
    <row r="359" spans="1:33" hidden="1" x14ac:dyDescent="0.25">
      <c r="A359" t="s">
        <v>26</v>
      </c>
      <c r="B359">
        <v>2023</v>
      </c>
      <c r="C359" t="s">
        <v>27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196.9</v>
      </c>
      <c r="Q359">
        <v>189</v>
      </c>
      <c r="R359">
        <v>186.3</v>
      </c>
      <c r="T359">
        <v>183.2</v>
      </c>
      <c r="U359">
        <v>177.2</v>
      </c>
      <c r="V359">
        <v>184.7</v>
      </c>
      <c r="W359">
        <v>168.2</v>
      </c>
      <c r="X359">
        <v>171.8</v>
      </c>
      <c r="Y359">
        <v>177.8</v>
      </c>
      <c r="Z359">
        <v>178.4</v>
      </c>
      <c r="AA359">
        <v>177.8</v>
      </c>
      <c r="AB359">
        <f t="shared" si="39"/>
        <v>2108.2000000000003</v>
      </c>
      <c r="AD359">
        <v>183.2</v>
      </c>
      <c r="AE359">
        <f t="shared" si="40"/>
        <v>375.3</v>
      </c>
      <c r="AF359">
        <f t="shared" si="41"/>
        <v>1255</v>
      </c>
      <c r="AG359">
        <f t="shared" si="42"/>
        <v>3921.7000000000003</v>
      </c>
    </row>
    <row r="360" spans="1:33" hidden="1" x14ac:dyDescent="0.25">
      <c r="A360" t="s">
        <v>28</v>
      </c>
      <c r="B360">
        <v>2023</v>
      </c>
      <c r="C360" t="s">
        <v>27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201.6</v>
      </c>
      <c r="Q360">
        <v>178.7</v>
      </c>
      <c r="R360">
        <v>165.3</v>
      </c>
      <c r="S360">
        <v>172.1</v>
      </c>
      <c r="T360">
        <v>180.1</v>
      </c>
      <c r="U360">
        <v>168</v>
      </c>
      <c r="V360">
        <v>178.5</v>
      </c>
      <c r="W360">
        <v>159.5</v>
      </c>
      <c r="X360">
        <v>167.8</v>
      </c>
      <c r="Y360">
        <v>171.8</v>
      </c>
      <c r="Z360">
        <v>178.8</v>
      </c>
      <c r="AA360">
        <v>174.9</v>
      </c>
      <c r="AB360">
        <f t="shared" si="39"/>
        <v>2130.7000000000003</v>
      </c>
      <c r="AC360">
        <v>172.1</v>
      </c>
      <c r="AD360">
        <v>180.1</v>
      </c>
      <c r="AE360">
        <f t="shared" si="40"/>
        <v>344</v>
      </c>
      <c r="AF360">
        <f t="shared" si="41"/>
        <v>1225.9999999999998</v>
      </c>
      <c r="AG360">
        <f t="shared" si="42"/>
        <v>4052.8999999999996</v>
      </c>
    </row>
    <row r="361" spans="1:33" x14ac:dyDescent="0.25">
      <c r="A361" t="s">
        <v>29</v>
      </c>
      <c r="B361">
        <v>2023</v>
      </c>
      <c r="C361" t="s">
        <v>27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198.2</v>
      </c>
      <c r="Q361">
        <v>184.9</v>
      </c>
      <c r="R361">
        <v>177.6</v>
      </c>
      <c r="S361">
        <v>172.1</v>
      </c>
      <c r="T361">
        <v>182</v>
      </c>
      <c r="U361">
        <v>172.9</v>
      </c>
      <c r="V361">
        <v>182.3</v>
      </c>
      <c r="W361">
        <v>163.6</v>
      </c>
      <c r="X361">
        <v>169.5</v>
      </c>
      <c r="Y361">
        <v>174.3</v>
      </c>
      <c r="Z361">
        <v>178.6</v>
      </c>
      <c r="AA361">
        <v>176.5</v>
      </c>
      <c r="AB361">
        <f t="shared" si="39"/>
        <v>2116</v>
      </c>
      <c r="AC361">
        <v>172.1</v>
      </c>
      <c r="AD361">
        <v>182</v>
      </c>
      <c r="AE361">
        <f t="shared" si="40"/>
        <v>362.5</v>
      </c>
      <c r="AF361">
        <f t="shared" si="41"/>
        <v>1239.4000000000001</v>
      </c>
      <c r="AG361">
        <f t="shared" si="42"/>
        <v>4072</v>
      </c>
    </row>
    <row r="362" spans="1:33" hidden="1" x14ac:dyDescent="0.25">
      <c r="A362" t="s">
        <v>26</v>
      </c>
      <c r="B362">
        <v>2023</v>
      </c>
      <c r="C362" t="s">
        <v>30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198.3</v>
      </c>
      <c r="Q362">
        <v>190</v>
      </c>
      <c r="R362">
        <v>187</v>
      </c>
      <c r="T362">
        <v>181.6</v>
      </c>
      <c r="U362">
        <v>178.6</v>
      </c>
      <c r="V362">
        <v>186.6</v>
      </c>
      <c r="W362">
        <v>169</v>
      </c>
      <c r="X362">
        <v>172.8</v>
      </c>
      <c r="Y362">
        <v>178.5</v>
      </c>
      <c r="Z362">
        <v>180.7</v>
      </c>
      <c r="AA362">
        <v>178</v>
      </c>
      <c r="AB362">
        <f t="shared" si="39"/>
        <v>2090.8999999999996</v>
      </c>
      <c r="AD362">
        <v>181.6</v>
      </c>
      <c r="AE362">
        <f t="shared" si="40"/>
        <v>377</v>
      </c>
      <c r="AF362">
        <f t="shared" si="41"/>
        <v>1264.5</v>
      </c>
      <c r="AG362">
        <f t="shared" si="42"/>
        <v>3913.9999999999995</v>
      </c>
    </row>
    <row r="363" spans="1:33" hidden="1" x14ac:dyDescent="0.25">
      <c r="A363" t="s">
        <v>28</v>
      </c>
      <c r="B363">
        <v>2023</v>
      </c>
      <c r="C363" t="s">
        <v>30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202.7</v>
      </c>
      <c r="Q363">
        <v>180.3</v>
      </c>
      <c r="R363">
        <v>167</v>
      </c>
      <c r="S363">
        <v>173.5</v>
      </c>
      <c r="T363">
        <v>182.8</v>
      </c>
      <c r="U363">
        <v>169.2</v>
      </c>
      <c r="V363">
        <v>180.8</v>
      </c>
      <c r="W363">
        <v>159.80000000000001</v>
      </c>
      <c r="X363">
        <v>168.4</v>
      </c>
      <c r="Y363">
        <v>172.5</v>
      </c>
      <c r="Z363">
        <v>181.4</v>
      </c>
      <c r="AA363">
        <v>176.3</v>
      </c>
      <c r="AB363">
        <f t="shared" si="39"/>
        <v>2122.5</v>
      </c>
      <c r="AC363">
        <v>173.5</v>
      </c>
      <c r="AD363">
        <v>182.8</v>
      </c>
      <c r="AE363">
        <f t="shared" si="40"/>
        <v>347.3</v>
      </c>
      <c r="AF363">
        <f t="shared" si="41"/>
        <v>1234.8000000000002</v>
      </c>
      <c r="AG363">
        <f t="shared" si="42"/>
        <v>4060.9000000000005</v>
      </c>
    </row>
    <row r="364" spans="1:33" x14ac:dyDescent="0.25">
      <c r="A364" t="s">
        <v>29</v>
      </c>
      <c r="B364">
        <v>2023</v>
      </c>
      <c r="C364" t="s">
        <v>30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199.5</v>
      </c>
      <c r="Q364">
        <v>186.2</v>
      </c>
      <c r="R364">
        <v>178.7</v>
      </c>
      <c r="S364">
        <v>173.5</v>
      </c>
      <c r="T364">
        <v>182.1</v>
      </c>
      <c r="U364">
        <v>174.2</v>
      </c>
      <c r="V364">
        <v>184.4</v>
      </c>
      <c r="W364">
        <v>164.2</v>
      </c>
      <c r="X364">
        <v>170.3</v>
      </c>
      <c r="Y364">
        <v>175</v>
      </c>
      <c r="Z364">
        <v>181</v>
      </c>
      <c r="AA364">
        <v>177.2</v>
      </c>
      <c r="AB364">
        <f t="shared" si="39"/>
        <v>2102.1</v>
      </c>
      <c r="AC364">
        <v>173.5</v>
      </c>
      <c r="AD364">
        <v>182.1</v>
      </c>
      <c r="AE364">
        <f t="shared" si="40"/>
        <v>364.9</v>
      </c>
      <c r="AF364">
        <f t="shared" si="41"/>
        <v>1248.5999999999999</v>
      </c>
      <c r="AG364">
        <f t="shared" si="42"/>
        <v>4071.2</v>
      </c>
    </row>
    <row r="365" spans="1:33" hidden="1" x14ac:dyDescent="0.25">
      <c r="A365" t="s">
        <v>26</v>
      </c>
      <c r="B365">
        <v>2023</v>
      </c>
      <c r="C365" t="s">
        <v>31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198.4</v>
      </c>
      <c r="Q365">
        <v>190</v>
      </c>
      <c r="R365">
        <v>187</v>
      </c>
      <c r="T365">
        <v>181.4</v>
      </c>
      <c r="U365">
        <v>178.6</v>
      </c>
      <c r="V365">
        <v>186.6</v>
      </c>
      <c r="W365">
        <v>169</v>
      </c>
      <c r="X365">
        <v>172.8</v>
      </c>
      <c r="Y365">
        <v>178.5</v>
      </c>
      <c r="Z365">
        <v>180.7</v>
      </c>
      <c r="AA365">
        <v>178</v>
      </c>
      <c r="AB365">
        <f t="shared" si="39"/>
        <v>2091</v>
      </c>
      <c r="AD365">
        <v>181.4</v>
      </c>
      <c r="AE365">
        <f t="shared" si="40"/>
        <v>377</v>
      </c>
      <c r="AF365">
        <f t="shared" si="41"/>
        <v>1264.6000000000001</v>
      </c>
      <c r="AG365">
        <f t="shared" si="42"/>
        <v>3914</v>
      </c>
    </row>
    <row r="366" spans="1:33" hidden="1" x14ac:dyDescent="0.25">
      <c r="A366" t="s">
        <v>28</v>
      </c>
      <c r="B366">
        <v>2023</v>
      </c>
      <c r="C366" t="s">
        <v>31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202.7</v>
      </c>
      <c r="Q366">
        <v>180.2</v>
      </c>
      <c r="R366">
        <v>167</v>
      </c>
      <c r="S366">
        <v>173.5</v>
      </c>
      <c r="T366">
        <v>182.6</v>
      </c>
      <c r="U366">
        <v>169.2</v>
      </c>
      <c r="V366">
        <v>180.8</v>
      </c>
      <c r="W366">
        <v>159.80000000000001</v>
      </c>
      <c r="X366">
        <v>168.4</v>
      </c>
      <c r="Y366">
        <v>172.5</v>
      </c>
      <c r="Z366">
        <v>181.5</v>
      </c>
      <c r="AA366">
        <v>176.3</v>
      </c>
      <c r="AB366">
        <f t="shared" si="39"/>
        <v>2122.6</v>
      </c>
      <c r="AC366">
        <v>173.5</v>
      </c>
      <c r="AD366">
        <v>182.6</v>
      </c>
      <c r="AE366">
        <f t="shared" si="40"/>
        <v>347.2</v>
      </c>
      <c r="AF366">
        <f t="shared" si="41"/>
        <v>1234.9000000000001</v>
      </c>
      <c r="AG366">
        <f t="shared" si="42"/>
        <v>4060.7999999999997</v>
      </c>
    </row>
    <row r="367" spans="1:33" x14ac:dyDescent="0.25">
      <c r="A367" t="s">
        <v>29</v>
      </c>
      <c r="B367">
        <v>2023</v>
      </c>
      <c r="C367" t="s">
        <v>31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199.5</v>
      </c>
      <c r="Q367">
        <v>186.1</v>
      </c>
      <c r="R367">
        <v>178.7</v>
      </c>
      <c r="S367">
        <v>173.5</v>
      </c>
      <c r="T367">
        <v>181.9</v>
      </c>
      <c r="U367">
        <v>174.2</v>
      </c>
      <c r="V367">
        <v>184.4</v>
      </c>
      <c r="W367">
        <v>164.2</v>
      </c>
      <c r="X367">
        <v>170.3</v>
      </c>
      <c r="Y367">
        <v>175</v>
      </c>
      <c r="Z367">
        <v>181</v>
      </c>
      <c r="AA367">
        <v>177.2</v>
      </c>
      <c r="AB367">
        <f t="shared" si="39"/>
        <v>2102.1999999999998</v>
      </c>
      <c r="AC367">
        <v>173.5</v>
      </c>
      <c r="AD367">
        <v>181.9</v>
      </c>
      <c r="AE367">
        <f t="shared" si="40"/>
        <v>364.79999999999995</v>
      </c>
      <c r="AF367">
        <f t="shared" si="41"/>
        <v>1248.5999999999999</v>
      </c>
      <c r="AG367">
        <f t="shared" si="42"/>
        <v>4070.9999999999995</v>
      </c>
    </row>
    <row r="368" spans="1:33" hidden="1" x14ac:dyDescent="0.25">
      <c r="A368" t="s">
        <v>26</v>
      </c>
      <c r="B368">
        <v>2023</v>
      </c>
      <c r="C368" t="s">
        <v>32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199.5</v>
      </c>
      <c r="Q368">
        <v>190.7</v>
      </c>
      <c r="R368">
        <v>187.3</v>
      </c>
      <c r="T368">
        <v>181.5</v>
      </c>
      <c r="U368">
        <v>179.1</v>
      </c>
      <c r="V368">
        <v>187.2</v>
      </c>
      <c r="W368">
        <v>169.4</v>
      </c>
      <c r="X368">
        <v>173.2</v>
      </c>
      <c r="Y368">
        <v>179.4</v>
      </c>
      <c r="Z368">
        <v>183.8</v>
      </c>
      <c r="AA368">
        <v>178.8</v>
      </c>
      <c r="AB368">
        <f t="shared" si="39"/>
        <v>2098.6999999999998</v>
      </c>
      <c r="AD368">
        <v>181.5</v>
      </c>
      <c r="AE368">
        <f t="shared" si="40"/>
        <v>378</v>
      </c>
      <c r="AF368">
        <f t="shared" si="41"/>
        <v>1271.5999999999999</v>
      </c>
      <c r="AG368">
        <f t="shared" si="42"/>
        <v>3929.7999999999997</v>
      </c>
    </row>
    <row r="369" spans="1:33" hidden="1" x14ac:dyDescent="0.25">
      <c r="A369" t="s">
        <v>28</v>
      </c>
      <c r="B369">
        <v>2023</v>
      </c>
      <c r="C369" t="s">
        <v>32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203.5</v>
      </c>
      <c r="Q369">
        <v>181</v>
      </c>
      <c r="R369">
        <v>167.7</v>
      </c>
      <c r="S369">
        <v>175.2</v>
      </c>
      <c r="T369">
        <v>182.1</v>
      </c>
      <c r="U369">
        <v>169.6</v>
      </c>
      <c r="V369">
        <v>181.5</v>
      </c>
      <c r="W369">
        <v>160.1</v>
      </c>
      <c r="X369">
        <v>168.8</v>
      </c>
      <c r="Y369">
        <v>174.2</v>
      </c>
      <c r="Z369">
        <v>184.4</v>
      </c>
      <c r="AA369">
        <v>177.4</v>
      </c>
      <c r="AB369">
        <f t="shared" si="39"/>
        <v>2135.6000000000004</v>
      </c>
      <c r="AC369">
        <v>175.2</v>
      </c>
      <c r="AD369">
        <v>182.1</v>
      </c>
      <c r="AE369">
        <f t="shared" si="40"/>
        <v>348.7</v>
      </c>
      <c r="AF369">
        <f t="shared" si="41"/>
        <v>1242.1000000000001</v>
      </c>
      <c r="AG369">
        <f t="shared" si="42"/>
        <v>4083.7</v>
      </c>
    </row>
    <row r="370" spans="1:33" x14ac:dyDescent="0.25">
      <c r="A370" t="s">
        <v>29</v>
      </c>
      <c r="B370">
        <v>2023</v>
      </c>
      <c r="C370" t="s">
        <v>32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200.6</v>
      </c>
      <c r="Q370">
        <v>186.9</v>
      </c>
      <c r="R370">
        <v>179.2</v>
      </c>
      <c r="S370">
        <v>175.2</v>
      </c>
      <c r="T370">
        <v>181.7</v>
      </c>
      <c r="U370">
        <v>174.6</v>
      </c>
      <c r="V370">
        <v>185</v>
      </c>
      <c r="W370">
        <v>164.5</v>
      </c>
      <c r="X370">
        <v>170.7</v>
      </c>
      <c r="Y370">
        <v>176.4</v>
      </c>
      <c r="Z370">
        <v>184</v>
      </c>
      <c r="AA370">
        <v>178.1</v>
      </c>
      <c r="AB370">
        <f t="shared" si="39"/>
        <v>2111.7000000000003</v>
      </c>
      <c r="AC370">
        <v>175.2</v>
      </c>
      <c r="AD370">
        <v>181.7</v>
      </c>
      <c r="AE370">
        <f t="shared" si="40"/>
        <v>366.1</v>
      </c>
      <c r="AF370">
        <f t="shared" si="41"/>
        <v>1255.7999999999997</v>
      </c>
      <c r="AG370">
        <f t="shared" si="42"/>
        <v>4090.4999999999995</v>
      </c>
    </row>
    <row r="371" spans="1:33" hidden="1" x14ac:dyDescent="0.25">
      <c r="A371" t="s">
        <v>26</v>
      </c>
      <c r="B371">
        <v>2023</v>
      </c>
      <c r="C371" t="s">
        <v>33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199.9</v>
      </c>
      <c r="Q371">
        <v>191.2</v>
      </c>
      <c r="R371">
        <v>187.9</v>
      </c>
      <c r="T371">
        <v>182.5</v>
      </c>
      <c r="U371">
        <v>179.8</v>
      </c>
      <c r="V371">
        <v>187.8</v>
      </c>
      <c r="W371">
        <v>169.7</v>
      </c>
      <c r="X371">
        <v>173.8</v>
      </c>
      <c r="Y371">
        <v>180.3</v>
      </c>
      <c r="Z371">
        <v>184.9</v>
      </c>
      <c r="AA371">
        <v>179.8</v>
      </c>
      <c r="AB371">
        <f t="shared" si="39"/>
        <v>2113.9000000000005</v>
      </c>
      <c r="AD371">
        <v>182.5</v>
      </c>
      <c r="AE371">
        <f t="shared" si="40"/>
        <v>379.1</v>
      </c>
      <c r="AF371">
        <f t="shared" si="41"/>
        <v>1276.2</v>
      </c>
      <c r="AG371">
        <f t="shared" si="42"/>
        <v>3951.7000000000007</v>
      </c>
    </row>
    <row r="372" spans="1:33" hidden="1" x14ac:dyDescent="0.25">
      <c r="A372" t="s">
        <v>28</v>
      </c>
      <c r="B372">
        <v>2023</v>
      </c>
      <c r="C372" t="s">
        <v>33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204.2</v>
      </c>
      <c r="Q372">
        <v>181.3</v>
      </c>
      <c r="R372">
        <v>168.1</v>
      </c>
      <c r="S372">
        <v>175.6</v>
      </c>
      <c r="T372">
        <v>183.4</v>
      </c>
      <c r="U372">
        <v>170.1</v>
      </c>
      <c r="V372">
        <v>182.2</v>
      </c>
      <c r="W372">
        <v>160.4</v>
      </c>
      <c r="X372">
        <v>169.2</v>
      </c>
      <c r="Y372">
        <v>174.8</v>
      </c>
      <c r="Z372">
        <v>185.6</v>
      </c>
      <c r="AA372">
        <v>178.2</v>
      </c>
      <c r="AB372">
        <f t="shared" si="39"/>
        <v>2152</v>
      </c>
      <c r="AC372">
        <v>175.6</v>
      </c>
      <c r="AD372">
        <v>183.4</v>
      </c>
      <c r="AE372">
        <f t="shared" si="40"/>
        <v>349.4</v>
      </c>
      <c r="AF372">
        <f t="shared" si="41"/>
        <v>1246.4999999999998</v>
      </c>
      <c r="AG372">
        <f t="shared" si="42"/>
        <v>4106.8999999999996</v>
      </c>
    </row>
    <row r="373" spans="1:33" x14ac:dyDescent="0.25">
      <c r="A373" t="s">
        <v>29</v>
      </c>
      <c r="B373">
        <v>2023</v>
      </c>
      <c r="C373" t="s">
        <v>33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201</v>
      </c>
      <c r="Q373">
        <v>187.3</v>
      </c>
      <c r="R373">
        <v>179.7</v>
      </c>
      <c r="S373">
        <v>175.6</v>
      </c>
      <c r="T373">
        <v>182.8</v>
      </c>
      <c r="U373">
        <v>175.2</v>
      </c>
      <c r="V373">
        <v>185.7</v>
      </c>
      <c r="W373">
        <v>164.8</v>
      </c>
      <c r="X373">
        <v>171.2</v>
      </c>
      <c r="Y373">
        <v>177.1</v>
      </c>
      <c r="Z373">
        <v>185.2</v>
      </c>
      <c r="AA373">
        <v>179.1</v>
      </c>
      <c r="AB373">
        <f t="shared" si="39"/>
        <v>2127.8000000000002</v>
      </c>
      <c r="AC373">
        <v>175.6</v>
      </c>
      <c r="AD373">
        <v>182.8</v>
      </c>
      <c r="AE373">
        <f t="shared" si="40"/>
        <v>367</v>
      </c>
      <c r="AF373">
        <f t="shared" si="41"/>
        <v>1260.2</v>
      </c>
      <c r="AG373">
        <f t="shared" si="42"/>
        <v>4113.4000000000005</v>
      </c>
    </row>
  </sheetData>
  <autoFilter ref="A1:AG373">
    <filterColumn colId="0">
      <filters>
        <filter val="Rural+Urban"/>
      </filters>
    </filterColumn>
    <filterColumn colId="1">
      <filters>
        <filter val="2021"/>
        <filter val="2022"/>
        <filter val="2023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selection activeCell="E4" sqref="E4"/>
    </sheetView>
  </sheetViews>
  <sheetFormatPr defaultRowHeight="15" x14ac:dyDescent="0.25"/>
  <cols>
    <col min="1" max="1" width="11.5703125" bestFit="1" customWidth="1"/>
    <col min="2" max="2" width="71.28515625" bestFit="1" customWidth="1"/>
    <col min="3" max="3" width="10" customWidth="1"/>
  </cols>
  <sheetData>
    <row r="1" spans="1:5" x14ac:dyDescent="0.25">
      <c r="A1" s="5" t="s">
        <v>48</v>
      </c>
      <c r="B1" s="6"/>
      <c r="C1" s="6"/>
      <c r="D1" s="6"/>
      <c r="E1" s="7"/>
    </row>
    <row r="2" spans="1:5" x14ac:dyDescent="0.25">
      <c r="A2" s="8"/>
      <c r="B2" s="3"/>
      <c r="C2" s="3"/>
      <c r="D2" s="3"/>
      <c r="E2" s="9"/>
    </row>
    <row r="3" spans="1:5" x14ac:dyDescent="0.25">
      <c r="A3" s="8"/>
      <c r="B3" s="3"/>
      <c r="C3" s="3"/>
      <c r="D3" s="3"/>
      <c r="E3" s="9"/>
    </row>
    <row r="4" spans="1:5" x14ac:dyDescent="0.25">
      <c r="A4" s="8"/>
      <c r="B4" s="3"/>
      <c r="C4" s="3"/>
      <c r="D4" s="3"/>
      <c r="E4" s="9"/>
    </row>
    <row r="5" spans="1:5" x14ac:dyDescent="0.25">
      <c r="A5" s="8"/>
      <c r="B5" s="3"/>
      <c r="C5" s="3"/>
      <c r="D5" s="3"/>
      <c r="E5" s="9"/>
    </row>
    <row r="6" spans="1:5" x14ac:dyDescent="0.25">
      <c r="A6" s="8"/>
      <c r="B6" s="3" t="s">
        <v>49</v>
      </c>
      <c r="C6" s="4" t="s">
        <v>50</v>
      </c>
      <c r="D6" s="3">
        <f>('MAIN DATA'!AB$373/'MAIN DATA'!$AG$373)*100</f>
        <v>51.728497107016089</v>
      </c>
      <c r="E6" s="9"/>
    </row>
    <row r="7" spans="1:5" x14ac:dyDescent="0.25">
      <c r="A7" s="8"/>
      <c r="B7" s="3" t="s">
        <v>51</v>
      </c>
      <c r="C7" s="4" t="s">
        <v>50</v>
      </c>
      <c r="D7" s="3">
        <f>('MAIN DATA'!AC$373/'MAIN DATA'!$AG$373)*100</f>
        <v>4.2689745709145708</v>
      </c>
      <c r="E7" s="9"/>
    </row>
    <row r="8" spans="1:5" x14ac:dyDescent="0.25">
      <c r="A8" s="8"/>
      <c r="B8" s="3" t="s">
        <v>52</v>
      </c>
      <c r="C8" s="4" t="s">
        <v>50</v>
      </c>
      <c r="D8" s="3">
        <f>('MAIN DATA'!AD$373/'MAIN DATA'!$AG$373)*100</f>
        <v>4.4440122526377204</v>
      </c>
      <c r="E8" s="9"/>
    </row>
    <row r="9" spans="1:5" x14ac:dyDescent="0.25">
      <c r="A9" s="8"/>
      <c r="B9" s="3" t="s">
        <v>53</v>
      </c>
      <c r="C9" s="4" t="s">
        <v>50</v>
      </c>
      <c r="D9" s="3">
        <f>('MAIN DATA'!AE$373/'MAIN DATA'!$AG$373)*100</f>
        <v>8.9220596100549407</v>
      </c>
      <c r="E9" s="9"/>
    </row>
    <row r="10" spans="1:5" x14ac:dyDescent="0.25">
      <c r="A10" s="8"/>
      <c r="B10" s="3" t="s">
        <v>54</v>
      </c>
      <c r="C10" s="4" t="s">
        <v>50</v>
      </c>
      <c r="D10" s="3">
        <f>('MAIN DATA'!AF$373/'MAIN DATA'!$AG$373)*100</f>
        <v>30.636456459376671</v>
      </c>
      <c r="E10" s="9"/>
    </row>
    <row r="11" spans="1:5" x14ac:dyDescent="0.25">
      <c r="A11" s="8"/>
      <c r="B11" s="3"/>
      <c r="C11" s="3"/>
      <c r="D11" s="3"/>
      <c r="E11" s="9"/>
    </row>
    <row r="12" spans="1:5" x14ac:dyDescent="0.25">
      <c r="A12" s="8"/>
      <c r="B12" s="13" t="s">
        <v>55</v>
      </c>
      <c r="C12" s="3"/>
      <c r="D12" s="3"/>
      <c r="E12" s="9"/>
    </row>
    <row r="13" spans="1:5" ht="15.75" thickBot="1" x14ac:dyDescent="0.3">
      <c r="A13" s="10"/>
      <c r="B13" s="11"/>
      <c r="C13" s="11"/>
      <c r="D13" s="11"/>
      <c r="E1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zoomScale="86" zoomScaleNormal="86" workbookViewId="0">
      <selection activeCell="L23" sqref="L23"/>
    </sheetView>
  </sheetViews>
  <sheetFormatPr defaultRowHeight="15" x14ac:dyDescent="0.25"/>
  <cols>
    <col min="1" max="1" width="11.85546875" bestFit="1" customWidth="1"/>
    <col min="2" max="2" width="7.28515625" customWidth="1"/>
    <col min="3" max="3" width="10.85546875" hidden="1" customWidth="1"/>
    <col min="4" max="4" width="16" hidden="1" customWidth="1"/>
    <col min="5" max="5" width="19.140625" bestFit="1" customWidth="1"/>
    <col min="9" max="9" width="40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25</v>
      </c>
      <c r="E1" s="1" t="s">
        <v>56</v>
      </c>
    </row>
    <row r="2" spans="1:5" x14ac:dyDescent="0.25">
      <c r="A2" t="s">
        <v>29</v>
      </c>
      <c r="B2">
        <v>2013</v>
      </c>
      <c r="C2" t="s">
        <v>27</v>
      </c>
      <c r="D2">
        <v>104.6</v>
      </c>
    </row>
    <row r="3" spans="1:5" x14ac:dyDescent="0.25">
      <c r="A3" t="s">
        <v>29</v>
      </c>
      <c r="B3">
        <v>2013</v>
      </c>
      <c r="C3" t="s">
        <v>30</v>
      </c>
      <c r="D3">
        <v>105.3</v>
      </c>
    </row>
    <row r="4" spans="1:5" x14ac:dyDescent="0.25">
      <c r="A4" t="s">
        <v>29</v>
      </c>
      <c r="B4">
        <v>2013</v>
      </c>
      <c r="C4" t="s">
        <v>31</v>
      </c>
      <c r="D4">
        <v>105.5</v>
      </c>
    </row>
    <row r="5" spans="1:5" x14ac:dyDescent="0.25">
      <c r="A5" t="s">
        <v>29</v>
      </c>
      <c r="B5">
        <v>2013</v>
      </c>
      <c r="C5" t="s">
        <v>32</v>
      </c>
      <c r="D5">
        <v>106.1</v>
      </c>
    </row>
    <row r="6" spans="1:5" x14ac:dyDescent="0.25">
      <c r="A6" t="s">
        <v>29</v>
      </c>
      <c r="B6">
        <v>2013</v>
      </c>
      <c r="C6" t="s">
        <v>33</v>
      </c>
      <c r="D6">
        <v>106.9</v>
      </c>
    </row>
    <row r="7" spans="1:5" x14ac:dyDescent="0.25">
      <c r="A7" t="s">
        <v>29</v>
      </c>
      <c r="B7">
        <v>2013</v>
      </c>
      <c r="C7" t="s">
        <v>34</v>
      </c>
      <c r="D7">
        <v>109.3</v>
      </c>
    </row>
    <row r="8" spans="1:5" x14ac:dyDescent="0.25">
      <c r="A8" t="s">
        <v>29</v>
      </c>
      <c r="B8">
        <v>2013</v>
      </c>
      <c r="C8" t="s">
        <v>35</v>
      </c>
      <c r="D8">
        <v>111</v>
      </c>
    </row>
    <row r="9" spans="1:5" x14ac:dyDescent="0.25">
      <c r="A9" t="s">
        <v>29</v>
      </c>
      <c r="B9">
        <v>2013</v>
      </c>
      <c r="C9" t="s">
        <v>36</v>
      </c>
      <c r="D9">
        <v>112.4</v>
      </c>
    </row>
    <row r="10" spans="1:5" x14ac:dyDescent="0.25">
      <c r="A10" t="s">
        <v>29</v>
      </c>
      <c r="B10">
        <v>2013</v>
      </c>
      <c r="C10" t="s">
        <v>37</v>
      </c>
      <c r="D10">
        <v>113.7</v>
      </c>
    </row>
    <row r="11" spans="1:5" x14ac:dyDescent="0.25">
      <c r="A11" t="s">
        <v>29</v>
      </c>
      <c r="B11">
        <v>2013</v>
      </c>
      <c r="C11" t="s">
        <v>38</v>
      </c>
      <c r="D11">
        <v>114.8</v>
      </c>
    </row>
    <row r="12" spans="1:5" x14ac:dyDescent="0.25">
      <c r="A12" t="s">
        <v>29</v>
      </c>
      <c r="B12">
        <v>2013</v>
      </c>
      <c r="C12" t="s">
        <v>40</v>
      </c>
      <c r="D12">
        <v>116.3</v>
      </c>
    </row>
    <row r="13" spans="1:5" x14ac:dyDescent="0.25">
      <c r="A13" t="s">
        <v>29</v>
      </c>
      <c r="B13">
        <v>2013</v>
      </c>
      <c r="C13" t="s">
        <v>41</v>
      </c>
      <c r="D13">
        <v>114.5</v>
      </c>
    </row>
    <row r="14" spans="1:5" x14ac:dyDescent="0.25">
      <c r="A14" t="s">
        <v>29</v>
      </c>
      <c r="B14">
        <v>2014</v>
      </c>
      <c r="C14" t="s">
        <v>27</v>
      </c>
      <c r="D14">
        <v>113.6</v>
      </c>
      <c r="E14" s="14">
        <f t="shared" ref="E14:E45" si="0">((D14-D2)/D2)*100</f>
        <v>8.6042065009560229</v>
      </c>
    </row>
    <row r="15" spans="1:5" x14ac:dyDescent="0.25">
      <c r="A15" t="s">
        <v>29</v>
      </c>
      <c r="B15">
        <v>2014</v>
      </c>
      <c r="C15" t="s">
        <v>30</v>
      </c>
      <c r="D15">
        <v>113.6</v>
      </c>
      <c r="E15" s="14">
        <f t="shared" si="0"/>
        <v>7.8822412155745463</v>
      </c>
    </row>
    <row r="16" spans="1:5" x14ac:dyDescent="0.25">
      <c r="A16" t="s">
        <v>29</v>
      </c>
      <c r="B16">
        <v>2014</v>
      </c>
      <c r="C16" t="s">
        <v>31</v>
      </c>
      <c r="D16">
        <v>114.2</v>
      </c>
      <c r="E16" s="14">
        <f t="shared" si="0"/>
        <v>8.2464454976303347</v>
      </c>
    </row>
    <row r="17" spans="1:9" x14ac:dyDescent="0.25">
      <c r="A17" t="s">
        <v>29</v>
      </c>
      <c r="B17">
        <v>2014</v>
      </c>
      <c r="C17" t="s">
        <v>32</v>
      </c>
      <c r="D17">
        <v>115.1</v>
      </c>
      <c r="E17" s="14">
        <f t="shared" si="0"/>
        <v>8.482563619227145</v>
      </c>
    </row>
    <row r="18" spans="1:9" x14ac:dyDescent="0.25">
      <c r="A18" t="s">
        <v>29</v>
      </c>
      <c r="B18">
        <v>2014</v>
      </c>
      <c r="C18" t="s">
        <v>33</v>
      </c>
      <c r="D18">
        <v>115.8</v>
      </c>
      <c r="E18" s="14">
        <f t="shared" si="0"/>
        <v>8.3255378858746418</v>
      </c>
    </row>
    <row r="19" spans="1:9" x14ac:dyDescent="0.25">
      <c r="A19" t="s">
        <v>29</v>
      </c>
      <c r="B19">
        <v>2014</v>
      </c>
      <c r="C19" t="s">
        <v>34</v>
      </c>
      <c r="D19">
        <v>116.7</v>
      </c>
      <c r="E19" s="14">
        <f t="shared" si="0"/>
        <v>6.7703568161024759</v>
      </c>
    </row>
    <row r="20" spans="1:9" x14ac:dyDescent="0.25">
      <c r="A20" t="s">
        <v>29</v>
      </c>
      <c r="B20">
        <v>2014</v>
      </c>
      <c r="C20" t="s">
        <v>35</v>
      </c>
      <c r="D20">
        <v>119.2</v>
      </c>
      <c r="E20" s="14">
        <f t="shared" si="0"/>
        <v>7.3873873873873901</v>
      </c>
    </row>
    <row r="21" spans="1:9" x14ac:dyDescent="0.25">
      <c r="A21" t="s">
        <v>29</v>
      </c>
      <c r="B21">
        <v>2014</v>
      </c>
      <c r="C21" t="s">
        <v>36</v>
      </c>
      <c r="D21">
        <v>120.3</v>
      </c>
      <c r="E21" s="14">
        <f t="shared" si="0"/>
        <v>7.0284697508896725</v>
      </c>
    </row>
    <row r="22" spans="1:9" x14ac:dyDescent="0.25">
      <c r="A22" t="s">
        <v>29</v>
      </c>
      <c r="B22">
        <v>2014</v>
      </c>
      <c r="C22" t="s">
        <v>37</v>
      </c>
      <c r="D22">
        <v>120.1</v>
      </c>
      <c r="E22" s="14">
        <f t="shared" si="0"/>
        <v>5.6288478452066766</v>
      </c>
    </row>
    <row r="23" spans="1:9" x14ac:dyDescent="0.25">
      <c r="A23" t="s">
        <v>29</v>
      </c>
      <c r="B23">
        <v>2014</v>
      </c>
      <c r="C23" t="s">
        <v>38</v>
      </c>
      <c r="D23">
        <v>120.1</v>
      </c>
      <c r="E23" s="14">
        <f t="shared" si="0"/>
        <v>4.6167247386759556</v>
      </c>
      <c r="I23" s="16" t="s">
        <v>57</v>
      </c>
    </row>
    <row r="24" spans="1:9" x14ac:dyDescent="0.25">
      <c r="A24" t="s">
        <v>29</v>
      </c>
      <c r="B24">
        <v>2014</v>
      </c>
      <c r="C24" t="s">
        <v>40</v>
      </c>
      <c r="D24">
        <v>120.1</v>
      </c>
      <c r="E24" s="14">
        <f t="shared" si="0"/>
        <v>3.2674118658641422</v>
      </c>
      <c r="I24" s="15" t="s">
        <v>58</v>
      </c>
    </row>
    <row r="25" spans="1:9" x14ac:dyDescent="0.25">
      <c r="A25" t="s">
        <v>29</v>
      </c>
      <c r="B25">
        <v>2014</v>
      </c>
      <c r="C25" t="s">
        <v>41</v>
      </c>
      <c r="D25">
        <v>119.4</v>
      </c>
      <c r="E25" s="14">
        <f t="shared" si="0"/>
        <v>4.2794759825327562</v>
      </c>
      <c r="I25" s="2" t="s">
        <v>59</v>
      </c>
    </row>
    <row r="26" spans="1:9" x14ac:dyDescent="0.25">
      <c r="A26" t="s">
        <v>29</v>
      </c>
      <c r="B26">
        <v>2015</v>
      </c>
      <c r="C26" t="s">
        <v>27</v>
      </c>
      <c r="D26">
        <v>119.5</v>
      </c>
      <c r="E26" s="14">
        <f t="shared" si="0"/>
        <v>5.1936619718309913</v>
      </c>
      <c r="I26" s="2" t="s">
        <v>60</v>
      </c>
    </row>
    <row r="27" spans="1:9" x14ac:dyDescent="0.25">
      <c r="A27" t="s">
        <v>29</v>
      </c>
      <c r="B27">
        <v>2015</v>
      </c>
      <c r="C27" t="s">
        <v>30</v>
      </c>
      <c r="D27">
        <v>119.7</v>
      </c>
      <c r="E27" s="14">
        <f t="shared" si="0"/>
        <v>5.369718309859163</v>
      </c>
      <c r="I27" s="2" t="s">
        <v>61</v>
      </c>
    </row>
    <row r="28" spans="1:9" x14ac:dyDescent="0.25">
      <c r="A28" t="s">
        <v>29</v>
      </c>
      <c r="B28">
        <v>2015</v>
      </c>
      <c r="C28" t="s">
        <v>31</v>
      </c>
      <c r="D28">
        <v>120.2</v>
      </c>
      <c r="E28" s="14">
        <f t="shared" si="0"/>
        <v>5.2539404553415059</v>
      </c>
    </row>
    <row r="29" spans="1:9" x14ac:dyDescent="0.25">
      <c r="A29" t="s">
        <v>29</v>
      </c>
      <c r="B29">
        <v>2015</v>
      </c>
      <c r="C29" t="s">
        <v>32</v>
      </c>
      <c r="D29">
        <v>120.7</v>
      </c>
      <c r="E29" s="14">
        <f t="shared" si="0"/>
        <v>4.8653344917463155</v>
      </c>
    </row>
    <row r="30" spans="1:9" x14ac:dyDescent="0.25">
      <c r="A30" t="s">
        <v>29</v>
      </c>
      <c r="B30">
        <v>2015</v>
      </c>
      <c r="C30" t="s">
        <v>33</v>
      </c>
      <c r="D30">
        <v>121.6</v>
      </c>
      <c r="E30" s="14">
        <f t="shared" si="0"/>
        <v>5.0086355785837631</v>
      </c>
    </row>
    <row r="31" spans="1:9" x14ac:dyDescent="0.25">
      <c r="A31" t="s">
        <v>29</v>
      </c>
      <c r="B31">
        <v>2015</v>
      </c>
      <c r="C31" t="s">
        <v>34</v>
      </c>
      <c r="D31">
        <v>123</v>
      </c>
      <c r="E31" s="14">
        <f t="shared" si="0"/>
        <v>5.3984575835475548</v>
      </c>
    </row>
    <row r="32" spans="1:9" x14ac:dyDescent="0.25">
      <c r="A32" t="s">
        <v>29</v>
      </c>
      <c r="B32">
        <v>2015</v>
      </c>
      <c r="C32" t="s">
        <v>35</v>
      </c>
      <c r="D32">
        <v>123.6</v>
      </c>
      <c r="E32" s="14">
        <f t="shared" si="0"/>
        <v>3.6912751677852276</v>
      </c>
    </row>
    <row r="33" spans="1:5" x14ac:dyDescent="0.25">
      <c r="A33" t="s">
        <v>29</v>
      </c>
      <c r="B33">
        <v>2015</v>
      </c>
      <c r="C33" t="s">
        <v>36</v>
      </c>
      <c r="D33">
        <v>124.8</v>
      </c>
      <c r="E33" s="14">
        <f t="shared" si="0"/>
        <v>3.7406483790523692</v>
      </c>
    </row>
    <row r="34" spans="1:5" x14ac:dyDescent="0.25">
      <c r="A34" t="s">
        <v>29</v>
      </c>
      <c r="B34">
        <v>2015</v>
      </c>
      <c r="C34" t="s">
        <v>37</v>
      </c>
      <c r="D34">
        <v>125.4</v>
      </c>
      <c r="E34" s="14">
        <f t="shared" si="0"/>
        <v>4.4129891756869366</v>
      </c>
    </row>
    <row r="35" spans="1:5" x14ac:dyDescent="0.25">
      <c r="A35" t="s">
        <v>29</v>
      </c>
      <c r="B35">
        <v>2015</v>
      </c>
      <c r="C35" t="s">
        <v>38</v>
      </c>
      <c r="D35">
        <v>126.1</v>
      </c>
      <c r="E35" s="14">
        <f t="shared" si="0"/>
        <v>4.9958368026644466</v>
      </c>
    </row>
    <row r="36" spans="1:5" x14ac:dyDescent="0.25">
      <c r="A36" t="s">
        <v>29</v>
      </c>
      <c r="B36">
        <v>2015</v>
      </c>
      <c r="C36" t="s">
        <v>40</v>
      </c>
      <c r="D36">
        <v>126.6</v>
      </c>
      <c r="E36" s="14">
        <f t="shared" si="0"/>
        <v>5.4121565362198174</v>
      </c>
    </row>
    <row r="37" spans="1:5" x14ac:dyDescent="0.25">
      <c r="A37" t="s">
        <v>29</v>
      </c>
      <c r="B37">
        <v>2015</v>
      </c>
      <c r="C37" t="s">
        <v>41</v>
      </c>
      <c r="D37">
        <v>126.1</v>
      </c>
      <c r="E37" s="14">
        <f t="shared" si="0"/>
        <v>5.6113902847571087</v>
      </c>
    </row>
    <row r="38" spans="1:5" x14ac:dyDescent="0.25">
      <c r="A38" t="s">
        <v>29</v>
      </c>
      <c r="B38">
        <v>2016</v>
      </c>
      <c r="C38" t="s">
        <v>27</v>
      </c>
      <c r="D38">
        <v>126.3</v>
      </c>
      <c r="E38" s="14">
        <f t="shared" si="0"/>
        <v>5.690376569037654</v>
      </c>
    </row>
    <row r="39" spans="1:5" x14ac:dyDescent="0.25">
      <c r="A39" t="s">
        <v>29</v>
      </c>
      <c r="B39">
        <v>2016</v>
      </c>
      <c r="C39" t="s">
        <v>30</v>
      </c>
      <c r="D39">
        <v>126</v>
      </c>
      <c r="E39" s="14">
        <f t="shared" si="0"/>
        <v>5.2631578947368398</v>
      </c>
    </row>
    <row r="40" spans="1:5" x14ac:dyDescent="0.25">
      <c r="A40" t="s">
        <v>29</v>
      </c>
      <c r="B40">
        <v>2016</v>
      </c>
      <c r="C40" t="s">
        <v>31</v>
      </c>
      <c r="D40">
        <v>126</v>
      </c>
      <c r="E40" s="14">
        <f t="shared" si="0"/>
        <v>4.8252911813643902</v>
      </c>
    </row>
    <row r="41" spans="1:5" x14ac:dyDescent="0.25">
      <c r="A41" t="s">
        <v>29</v>
      </c>
      <c r="B41">
        <v>2016</v>
      </c>
      <c r="C41" t="s">
        <v>32</v>
      </c>
      <c r="D41">
        <v>127.3</v>
      </c>
      <c r="E41" s="14">
        <f t="shared" si="0"/>
        <v>5.4681027340513628</v>
      </c>
    </row>
    <row r="42" spans="1:5" x14ac:dyDescent="0.25">
      <c r="A42" t="s">
        <v>29</v>
      </c>
      <c r="B42">
        <v>2016</v>
      </c>
      <c r="C42" t="s">
        <v>33</v>
      </c>
      <c r="D42">
        <v>128.6</v>
      </c>
      <c r="E42" s="14">
        <f t="shared" si="0"/>
        <v>5.7565789473684212</v>
      </c>
    </row>
    <row r="43" spans="1:5" x14ac:dyDescent="0.25">
      <c r="A43" t="s">
        <v>29</v>
      </c>
      <c r="B43">
        <v>2016</v>
      </c>
      <c r="C43" t="s">
        <v>34</v>
      </c>
      <c r="D43">
        <v>130.1</v>
      </c>
      <c r="E43" s="14">
        <f t="shared" si="0"/>
        <v>5.7723577235772305</v>
      </c>
    </row>
    <row r="44" spans="1:5" x14ac:dyDescent="0.25">
      <c r="A44" t="s">
        <v>29</v>
      </c>
      <c r="B44">
        <v>2016</v>
      </c>
      <c r="C44" t="s">
        <v>35</v>
      </c>
      <c r="D44">
        <v>131.1</v>
      </c>
      <c r="E44" s="14">
        <f t="shared" si="0"/>
        <v>6.0679611650485441</v>
      </c>
    </row>
    <row r="45" spans="1:5" x14ac:dyDescent="0.25">
      <c r="A45" t="s">
        <v>29</v>
      </c>
      <c r="B45">
        <v>2016</v>
      </c>
      <c r="C45" t="s">
        <v>36</v>
      </c>
      <c r="D45">
        <v>131.1</v>
      </c>
      <c r="E45" s="14">
        <f t="shared" si="0"/>
        <v>5.0480769230769207</v>
      </c>
    </row>
    <row r="46" spans="1:5" x14ac:dyDescent="0.25">
      <c r="A46" t="s">
        <v>29</v>
      </c>
      <c r="B46">
        <v>2016</v>
      </c>
      <c r="C46" t="s">
        <v>37</v>
      </c>
      <c r="D46">
        <v>130.9</v>
      </c>
      <c r="E46" s="14">
        <f t="shared" ref="E46:E77" si="1">((D46-D34)/D34)*100</f>
        <v>4.3859649122807012</v>
      </c>
    </row>
    <row r="47" spans="1:5" x14ac:dyDescent="0.25">
      <c r="A47" t="s">
        <v>29</v>
      </c>
      <c r="B47">
        <v>2016</v>
      </c>
      <c r="C47" t="s">
        <v>38</v>
      </c>
      <c r="D47">
        <v>131.4</v>
      </c>
      <c r="E47" s="14">
        <f t="shared" si="1"/>
        <v>4.2030134813640059</v>
      </c>
    </row>
    <row r="48" spans="1:5" x14ac:dyDescent="0.25">
      <c r="A48" t="s">
        <v>29</v>
      </c>
      <c r="B48">
        <v>2016</v>
      </c>
      <c r="C48" t="s">
        <v>40</v>
      </c>
      <c r="D48">
        <v>131.19999999999999</v>
      </c>
      <c r="E48" s="14">
        <f t="shared" si="1"/>
        <v>3.6334913112164253</v>
      </c>
    </row>
    <row r="49" spans="1:5" x14ac:dyDescent="0.25">
      <c r="A49" t="s">
        <v>29</v>
      </c>
      <c r="B49">
        <v>2016</v>
      </c>
      <c r="C49" t="s">
        <v>41</v>
      </c>
      <c r="D49">
        <v>130.4</v>
      </c>
      <c r="E49" s="14">
        <f t="shared" si="1"/>
        <v>3.4099920697858934</v>
      </c>
    </row>
    <row r="50" spans="1:5" x14ac:dyDescent="0.25">
      <c r="A50" t="s">
        <v>29</v>
      </c>
      <c r="B50">
        <v>2017</v>
      </c>
      <c r="C50" t="s">
        <v>27</v>
      </c>
      <c r="D50">
        <v>130.30000000000001</v>
      </c>
      <c r="E50" s="14">
        <f t="shared" si="1"/>
        <v>3.1670625494853639</v>
      </c>
    </row>
    <row r="51" spans="1:5" x14ac:dyDescent="0.25">
      <c r="A51" t="s">
        <v>29</v>
      </c>
      <c r="B51">
        <v>2017</v>
      </c>
      <c r="C51" t="s">
        <v>30</v>
      </c>
      <c r="D51">
        <v>130.6</v>
      </c>
      <c r="E51" s="14">
        <f t="shared" si="1"/>
        <v>3.6507936507936463</v>
      </c>
    </row>
    <row r="52" spans="1:5" x14ac:dyDescent="0.25">
      <c r="A52" t="s">
        <v>29</v>
      </c>
      <c r="B52">
        <v>2017</v>
      </c>
      <c r="C52" t="s">
        <v>31</v>
      </c>
      <c r="D52">
        <v>130.9</v>
      </c>
      <c r="E52" s="14">
        <f t="shared" si="1"/>
        <v>3.8888888888888933</v>
      </c>
    </row>
    <row r="53" spans="1:5" x14ac:dyDescent="0.25">
      <c r="A53" t="s">
        <v>29</v>
      </c>
      <c r="B53">
        <v>2017</v>
      </c>
      <c r="C53" t="s">
        <v>32</v>
      </c>
      <c r="D53">
        <v>131.1</v>
      </c>
      <c r="E53" s="14">
        <f t="shared" si="1"/>
        <v>2.9850746268656696</v>
      </c>
    </row>
    <row r="54" spans="1:5" x14ac:dyDescent="0.25">
      <c r="A54" t="s">
        <v>29</v>
      </c>
      <c r="B54">
        <v>2017</v>
      </c>
      <c r="C54" t="s">
        <v>33</v>
      </c>
      <c r="D54">
        <v>131.4</v>
      </c>
      <c r="E54" s="14">
        <f t="shared" si="1"/>
        <v>2.1772939346811913</v>
      </c>
    </row>
    <row r="55" spans="1:5" x14ac:dyDescent="0.25">
      <c r="A55" t="s">
        <v>29</v>
      </c>
      <c r="B55">
        <v>2017</v>
      </c>
      <c r="C55" t="s">
        <v>34</v>
      </c>
      <c r="D55">
        <v>132</v>
      </c>
      <c r="E55" s="14">
        <f t="shared" si="1"/>
        <v>1.4604150653343626</v>
      </c>
    </row>
    <row r="56" spans="1:5" x14ac:dyDescent="0.25">
      <c r="A56" t="s">
        <v>29</v>
      </c>
      <c r="B56">
        <v>2017</v>
      </c>
      <c r="C56" t="s">
        <v>35</v>
      </c>
      <c r="D56">
        <v>134.19999999999999</v>
      </c>
      <c r="E56" s="14">
        <f t="shared" si="1"/>
        <v>2.3646071700991569</v>
      </c>
    </row>
    <row r="57" spans="1:5" x14ac:dyDescent="0.25">
      <c r="A57" t="s">
        <v>29</v>
      </c>
      <c r="B57">
        <v>2017</v>
      </c>
      <c r="C57" t="s">
        <v>36</v>
      </c>
      <c r="D57">
        <v>135.4</v>
      </c>
      <c r="E57" s="14">
        <f t="shared" si="1"/>
        <v>3.2799389778794903</v>
      </c>
    </row>
    <row r="58" spans="1:5" x14ac:dyDescent="0.25">
      <c r="A58" t="s">
        <v>29</v>
      </c>
      <c r="B58">
        <v>2017</v>
      </c>
      <c r="C58" t="s">
        <v>37</v>
      </c>
      <c r="D58">
        <v>135.19999999999999</v>
      </c>
      <c r="E58" s="14">
        <f t="shared" si="1"/>
        <v>3.2849503437738599</v>
      </c>
    </row>
    <row r="59" spans="1:5" x14ac:dyDescent="0.25">
      <c r="A59" t="s">
        <v>29</v>
      </c>
      <c r="B59">
        <v>2017</v>
      </c>
      <c r="C59" t="s">
        <v>38</v>
      </c>
      <c r="D59">
        <v>136.1</v>
      </c>
      <c r="E59" s="14">
        <f t="shared" si="1"/>
        <v>3.5768645357686371</v>
      </c>
    </row>
    <row r="60" spans="1:5" x14ac:dyDescent="0.25">
      <c r="A60" t="s">
        <v>29</v>
      </c>
      <c r="B60">
        <v>2017</v>
      </c>
      <c r="C60" t="s">
        <v>40</v>
      </c>
      <c r="D60">
        <v>137.6</v>
      </c>
      <c r="E60" s="14">
        <f t="shared" si="1"/>
        <v>4.8780487804878101</v>
      </c>
    </row>
    <row r="61" spans="1:5" x14ac:dyDescent="0.25">
      <c r="A61" t="s">
        <v>29</v>
      </c>
      <c r="B61">
        <v>2017</v>
      </c>
      <c r="C61" t="s">
        <v>41</v>
      </c>
      <c r="D61">
        <v>137.19999999999999</v>
      </c>
      <c r="E61" s="14">
        <f t="shared" si="1"/>
        <v>5.2147239263803549</v>
      </c>
    </row>
    <row r="62" spans="1:5" x14ac:dyDescent="0.25">
      <c r="A62" t="s">
        <v>29</v>
      </c>
      <c r="B62">
        <v>2018</v>
      </c>
      <c r="C62" t="s">
        <v>27</v>
      </c>
      <c r="D62">
        <v>136.9</v>
      </c>
      <c r="E62" s="14">
        <f t="shared" si="1"/>
        <v>5.0652340752110465</v>
      </c>
    </row>
    <row r="63" spans="1:5" x14ac:dyDescent="0.25">
      <c r="A63" t="s">
        <v>29</v>
      </c>
      <c r="B63">
        <v>2018</v>
      </c>
      <c r="C63" t="s">
        <v>30</v>
      </c>
      <c r="D63">
        <v>136.4</v>
      </c>
      <c r="E63" s="14">
        <f t="shared" si="1"/>
        <v>4.4410413476263493</v>
      </c>
    </row>
    <row r="64" spans="1:5" x14ac:dyDescent="0.25">
      <c r="A64" t="s">
        <v>29</v>
      </c>
      <c r="B64">
        <v>2018</v>
      </c>
      <c r="C64" t="s">
        <v>31</v>
      </c>
      <c r="D64">
        <v>136.5</v>
      </c>
      <c r="E64" s="14">
        <f t="shared" si="1"/>
        <v>4.2780748663101562</v>
      </c>
    </row>
    <row r="65" spans="1:5" x14ac:dyDescent="0.25">
      <c r="A65" t="s">
        <v>29</v>
      </c>
      <c r="B65">
        <v>2018</v>
      </c>
      <c r="C65" t="s">
        <v>32</v>
      </c>
      <c r="D65">
        <v>137.1</v>
      </c>
      <c r="E65" s="14">
        <f t="shared" si="1"/>
        <v>4.5766590389016022</v>
      </c>
    </row>
    <row r="66" spans="1:5" x14ac:dyDescent="0.25">
      <c r="A66" t="s">
        <v>29</v>
      </c>
      <c r="B66">
        <v>2018</v>
      </c>
      <c r="C66" t="s">
        <v>33</v>
      </c>
      <c r="D66">
        <v>137.80000000000001</v>
      </c>
      <c r="E66" s="14">
        <f t="shared" si="1"/>
        <v>4.8706240487062447</v>
      </c>
    </row>
    <row r="67" spans="1:5" x14ac:dyDescent="0.25">
      <c r="A67" t="s">
        <v>29</v>
      </c>
      <c r="B67">
        <v>2018</v>
      </c>
      <c r="C67" t="s">
        <v>34</v>
      </c>
      <c r="D67">
        <v>138.5</v>
      </c>
      <c r="E67" s="14">
        <f t="shared" si="1"/>
        <v>4.9242424242424239</v>
      </c>
    </row>
    <row r="68" spans="1:5" x14ac:dyDescent="0.25">
      <c r="A68" t="s">
        <v>29</v>
      </c>
      <c r="B68">
        <v>2018</v>
      </c>
      <c r="C68" t="s">
        <v>35</v>
      </c>
      <c r="D68">
        <v>139.80000000000001</v>
      </c>
      <c r="E68" s="14">
        <f t="shared" si="1"/>
        <v>4.1728763040238617</v>
      </c>
    </row>
    <row r="69" spans="1:5" x14ac:dyDescent="0.25">
      <c r="A69" t="s">
        <v>29</v>
      </c>
      <c r="B69">
        <v>2018</v>
      </c>
      <c r="C69" t="s">
        <v>36</v>
      </c>
      <c r="D69">
        <v>140.4</v>
      </c>
      <c r="E69" s="14">
        <f t="shared" si="1"/>
        <v>3.6927621861152145</v>
      </c>
    </row>
    <row r="70" spans="1:5" x14ac:dyDescent="0.25">
      <c r="A70" t="s">
        <v>29</v>
      </c>
      <c r="B70">
        <v>2018</v>
      </c>
      <c r="C70" t="s">
        <v>37</v>
      </c>
      <c r="D70">
        <v>140.19999999999999</v>
      </c>
      <c r="E70" s="14">
        <f t="shared" si="1"/>
        <v>3.6982248520710059</v>
      </c>
    </row>
    <row r="71" spans="1:5" x14ac:dyDescent="0.25">
      <c r="A71" t="s">
        <v>29</v>
      </c>
      <c r="B71">
        <v>2018</v>
      </c>
      <c r="C71" t="s">
        <v>38</v>
      </c>
      <c r="D71">
        <v>140.80000000000001</v>
      </c>
      <c r="E71" s="14">
        <f t="shared" si="1"/>
        <v>3.4533431300514459</v>
      </c>
    </row>
    <row r="72" spans="1:5" x14ac:dyDescent="0.25">
      <c r="A72" t="s">
        <v>29</v>
      </c>
      <c r="B72">
        <v>2018</v>
      </c>
      <c r="C72" t="s">
        <v>40</v>
      </c>
      <c r="D72">
        <v>140.80000000000001</v>
      </c>
      <c r="E72" s="14">
        <f t="shared" si="1"/>
        <v>2.3255813953488498</v>
      </c>
    </row>
    <row r="73" spans="1:5" x14ac:dyDescent="0.25">
      <c r="A73" t="s">
        <v>29</v>
      </c>
      <c r="B73">
        <v>2018</v>
      </c>
      <c r="C73" t="s">
        <v>41</v>
      </c>
      <c r="D73">
        <v>140.1</v>
      </c>
      <c r="E73" s="14">
        <f t="shared" si="1"/>
        <v>2.1137026239067098</v>
      </c>
    </row>
    <row r="74" spans="1:5" x14ac:dyDescent="0.25">
      <c r="A74" t="s">
        <v>29</v>
      </c>
      <c r="B74">
        <v>2019</v>
      </c>
      <c r="C74" t="s">
        <v>27</v>
      </c>
      <c r="D74">
        <v>139.6</v>
      </c>
      <c r="E74" s="14">
        <f t="shared" si="1"/>
        <v>1.972242512783045</v>
      </c>
    </row>
    <row r="75" spans="1:5" x14ac:dyDescent="0.25">
      <c r="A75" t="s">
        <v>29</v>
      </c>
      <c r="B75">
        <v>2019</v>
      </c>
      <c r="C75" t="s">
        <v>30</v>
      </c>
      <c r="D75">
        <v>139.9</v>
      </c>
      <c r="E75" s="14">
        <f t="shared" si="1"/>
        <v>2.5659824046920821</v>
      </c>
    </row>
    <row r="76" spans="1:5" x14ac:dyDescent="0.25">
      <c r="A76" t="s">
        <v>29</v>
      </c>
      <c r="B76">
        <v>2019</v>
      </c>
      <c r="C76" t="s">
        <v>31</v>
      </c>
      <c r="D76">
        <v>140.4</v>
      </c>
      <c r="E76" s="14">
        <f t="shared" si="1"/>
        <v>2.8571428571428612</v>
      </c>
    </row>
    <row r="77" spans="1:5" x14ac:dyDescent="0.25">
      <c r="A77" t="s">
        <v>29</v>
      </c>
      <c r="B77">
        <v>2019</v>
      </c>
      <c r="C77" t="s">
        <v>33</v>
      </c>
      <c r="D77">
        <v>142</v>
      </c>
      <c r="E77" s="14">
        <f t="shared" si="1"/>
        <v>3.5740335521517181</v>
      </c>
    </row>
    <row r="78" spans="1:5" x14ac:dyDescent="0.25">
      <c r="A78" t="s">
        <v>29</v>
      </c>
      <c r="B78">
        <v>2019</v>
      </c>
      <c r="C78" t="s">
        <v>34</v>
      </c>
      <c r="D78">
        <v>142.9</v>
      </c>
      <c r="E78" s="14">
        <f t="shared" ref="E78:E109" si="2">((D78-D66)/D66)*100</f>
        <v>3.7010159651669037</v>
      </c>
    </row>
    <row r="79" spans="1:5" x14ac:dyDescent="0.25">
      <c r="A79" t="s">
        <v>29</v>
      </c>
      <c r="B79">
        <v>2019</v>
      </c>
      <c r="C79" t="s">
        <v>35</v>
      </c>
      <c r="D79">
        <v>144.19999999999999</v>
      </c>
      <c r="E79" s="14">
        <f t="shared" si="2"/>
        <v>4.115523465703963</v>
      </c>
    </row>
    <row r="80" spans="1:5" x14ac:dyDescent="0.25">
      <c r="A80" t="s">
        <v>29</v>
      </c>
      <c r="B80">
        <v>2019</v>
      </c>
      <c r="C80" t="s">
        <v>36</v>
      </c>
      <c r="D80">
        <v>145</v>
      </c>
      <c r="E80" s="14">
        <f t="shared" si="2"/>
        <v>3.7195994277539257</v>
      </c>
    </row>
    <row r="81" spans="1:5" x14ac:dyDescent="0.25">
      <c r="A81" t="s">
        <v>29</v>
      </c>
      <c r="B81">
        <v>2019</v>
      </c>
      <c r="C81" t="s">
        <v>37</v>
      </c>
      <c r="D81">
        <v>145.80000000000001</v>
      </c>
      <c r="E81" s="14">
        <f t="shared" si="2"/>
        <v>3.8461538461538498</v>
      </c>
    </row>
    <row r="82" spans="1:5" x14ac:dyDescent="0.25">
      <c r="A82" t="s">
        <v>29</v>
      </c>
      <c r="B82">
        <v>2019</v>
      </c>
      <c r="C82" t="s">
        <v>38</v>
      </c>
      <c r="D82">
        <v>147.19999999999999</v>
      </c>
      <c r="E82" s="14">
        <f t="shared" si="2"/>
        <v>4.9928673323823114</v>
      </c>
    </row>
    <row r="83" spans="1:5" x14ac:dyDescent="0.25">
      <c r="A83" t="s">
        <v>29</v>
      </c>
      <c r="B83">
        <v>2019</v>
      </c>
      <c r="C83" t="s">
        <v>40</v>
      </c>
      <c r="D83">
        <v>148.6</v>
      </c>
      <c r="E83" s="14">
        <f t="shared" si="2"/>
        <v>5.5397727272727151</v>
      </c>
    </row>
    <row r="84" spans="1:5" x14ac:dyDescent="0.25">
      <c r="A84" t="s">
        <v>29</v>
      </c>
      <c r="B84">
        <v>2019</v>
      </c>
      <c r="C84" t="s">
        <v>41</v>
      </c>
      <c r="D84">
        <v>150.4</v>
      </c>
      <c r="E84" s="14">
        <f t="shared" si="2"/>
        <v>6.8181818181818139</v>
      </c>
    </row>
    <row r="85" spans="1:5" x14ac:dyDescent="0.25">
      <c r="A85" t="s">
        <v>29</v>
      </c>
      <c r="B85">
        <v>2020</v>
      </c>
      <c r="C85" t="s">
        <v>27</v>
      </c>
      <c r="D85">
        <v>150.19999999999999</v>
      </c>
      <c r="E85" s="14">
        <f t="shared" si="2"/>
        <v>7.2091363311920027</v>
      </c>
    </row>
    <row r="86" spans="1:5" x14ac:dyDescent="0.25">
      <c r="A86" t="s">
        <v>29</v>
      </c>
      <c r="B86">
        <v>2020</v>
      </c>
      <c r="C86" t="s">
        <v>30</v>
      </c>
      <c r="D86">
        <v>149.1</v>
      </c>
      <c r="E86" s="14">
        <f t="shared" si="2"/>
        <v>6.8051575931232096</v>
      </c>
    </row>
    <row r="87" spans="1:5" x14ac:dyDescent="0.25">
      <c r="A87" t="s">
        <v>29</v>
      </c>
      <c r="B87">
        <v>2020</v>
      </c>
      <c r="C87" t="s">
        <v>31</v>
      </c>
      <c r="D87">
        <v>148.6</v>
      </c>
      <c r="E87" s="14">
        <f t="shared" si="2"/>
        <v>6.2187276626161463</v>
      </c>
    </row>
    <row r="88" spans="1:5" x14ac:dyDescent="0.25">
      <c r="A88" t="s">
        <v>29</v>
      </c>
      <c r="B88">
        <v>2020</v>
      </c>
      <c r="C88" t="s">
        <v>32</v>
      </c>
      <c r="D88">
        <v>150.19999999999999</v>
      </c>
      <c r="E88" s="14">
        <f t="shared" si="2"/>
        <v>6.9800569800569674</v>
      </c>
    </row>
    <row r="89" spans="1:5" x14ac:dyDescent="0.25">
      <c r="A89" t="s">
        <v>29</v>
      </c>
      <c r="B89">
        <v>2020</v>
      </c>
      <c r="C89" t="s">
        <v>33</v>
      </c>
      <c r="D89">
        <v>150.19999999999999</v>
      </c>
      <c r="E89" s="14">
        <f t="shared" si="2"/>
        <v>5.774647887323936</v>
      </c>
    </row>
    <row r="90" spans="1:5" x14ac:dyDescent="0.25">
      <c r="A90" t="s">
        <v>29</v>
      </c>
      <c r="B90">
        <v>2020</v>
      </c>
      <c r="C90" t="s">
        <v>34</v>
      </c>
      <c r="D90">
        <v>151.80000000000001</v>
      </c>
      <c r="E90" s="14">
        <f t="shared" si="2"/>
        <v>6.2281315605318444</v>
      </c>
    </row>
    <row r="91" spans="1:5" x14ac:dyDescent="0.25">
      <c r="A91" t="s">
        <v>29</v>
      </c>
      <c r="B91">
        <v>2020</v>
      </c>
      <c r="C91" t="s">
        <v>35</v>
      </c>
      <c r="D91">
        <v>151.80000000000001</v>
      </c>
      <c r="E91" s="14">
        <f t="shared" si="2"/>
        <v>5.27045769764218</v>
      </c>
    </row>
    <row r="92" spans="1:5" x14ac:dyDescent="0.25">
      <c r="A92" t="s">
        <v>29</v>
      </c>
      <c r="B92">
        <v>2020</v>
      </c>
      <c r="C92" t="s">
        <v>36</v>
      </c>
      <c r="D92">
        <v>153.9</v>
      </c>
      <c r="E92" s="14">
        <f t="shared" si="2"/>
        <v>6.1379310344827624</v>
      </c>
    </row>
    <row r="93" spans="1:5" x14ac:dyDescent="0.25">
      <c r="A93" t="s">
        <v>29</v>
      </c>
      <c r="B93">
        <v>2020</v>
      </c>
      <c r="C93" t="s">
        <v>37</v>
      </c>
      <c r="D93">
        <v>154.69999999999999</v>
      </c>
      <c r="E93" s="14">
        <f t="shared" si="2"/>
        <v>6.1042524005486802</v>
      </c>
    </row>
    <row r="94" spans="1:5" x14ac:dyDescent="0.25">
      <c r="A94" t="s">
        <v>29</v>
      </c>
      <c r="B94">
        <v>2020</v>
      </c>
      <c r="C94" t="s">
        <v>38</v>
      </c>
      <c r="D94">
        <v>156.4</v>
      </c>
      <c r="E94" s="14">
        <f t="shared" si="2"/>
        <v>6.2500000000000124</v>
      </c>
    </row>
    <row r="95" spans="1:5" x14ac:dyDescent="0.25">
      <c r="A95" t="s">
        <v>29</v>
      </c>
      <c r="B95">
        <v>2020</v>
      </c>
      <c r="C95" t="s">
        <v>40</v>
      </c>
      <c r="D95">
        <v>158.4</v>
      </c>
      <c r="E95" s="14">
        <f t="shared" si="2"/>
        <v>6.594885598923292</v>
      </c>
    </row>
    <row r="96" spans="1:5" x14ac:dyDescent="0.25">
      <c r="A96" t="s">
        <v>29</v>
      </c>
      <c r="B96">
        <v>2020</v>
      </c>
      <c r="C96" t="s">
        <v>41</v>
      </c>
      <c r="D96">
        <v>158.9</v>
      </c>
      <c r="E96" s="14">
        <f t="shared" si="2"/>
        <v>5.6515957446808507</v>
      </c>
    </row>
    <row r="97" spans="1:5" x14ac:dyDescent="0.25">
      <c r="A97" t="s">
        <v>29</v>
      </c>
      <c r="B97">
        <v>2021</v>
      </c>
      <c r="C97" t="s">
        <v>27</v>
      </c>
      <c r="D97">
        <v>157.30000000000001</v>
      </c>
      <c r="E97" s="14">
        <f t="shared" si="2"/>
        <v>4.7270306258322385</v>
      </c>
    </row>
    <row r="98" spans="1:5" x14ac:dyDescent="0.25">
      <c r="A98" t="s">
        <v>29</v>
      </c>
      <c r="B98">
        <v>2021</v>
      </c>
      <c r="C98" t="s">
        <v>30</v>
      </c>
      <c r="D98">
        <v>156.6</v>
      </c>
      <c r="E98" s="14">
        <f t="shared" si="2"/>
        <v>5.0301810865191152</v>
      </c>
    </row>
    <row r="99" spans="1:5" x14ac:dyDescent="0.25">
      <c r="A99" t="s">
        <v>29</v>
      </c>
      <c r="B99">
        <v>2021</v>
      </c>
      <c r="C99" t="s">
        <v>31</v>
      </c>
      <c r="D99">
        <v>156.80000000000001</v>
      </c>
      <c r="E99" s="14">
        <f t="shared" si="2"/>
        <v>5.5181695827725559</v>
      </c>
    </row>
    <row r="100" spans="1:5" x14ac:dyDescent="0.25">
      <c r="A100" t="s">
        <v>29</v>
      </c>
      <c r="B100">
        <v>2021</v>
      </c>
      <c r="C100" t="s">
        <v>32</v>
      </c>
      <c r="D100">
        <v>157.80000000000001</v>
      </c>
      <c r="E100" s="14">
        <f t="shared" si="2"/>
        <v>5.0599201065246495</v>
      </c>
    </row>
    <row r="101" spans="1:5" x14ac:dyDescent="0.25">
      <c r="A101" t="s">
        <v>29</v>
      </c>
      <c r="B101">
        <v>2021</v>
      </c>
      <c r="C101" t="s">
        <v>33</v>
      </c>
      <c r="D101">
        <v>160.4</v>
      </c>
      <c r="E101" s="14">
        <f t="shared" si="2"/>
        <v>6.7909454061251786</v>
      </c>
    </row>
    <row r="102" spans="1:5" x14ac:dyDescent="0.25">
      <c r="A102" t="s">
        <v>29</v>
      </c>
      <c r="B102">
        <v>2021</v>
      </c>
      <c r="C102" t="s">
        <v>34</v>
      </c>
      <c r="D102">
        <v>161.30000000000001</v>
      </c>
      <c r="E102" s="14">
        <f t="shared" si="2"/>
        <v>6.2582345191040831</v>
      </c>
    </row>
    <row r="103" spans="1:5" x14ac:dyDescent="0.25">
      <c r="A103" t="s">
        <v>29</v>
      </c>
      <c r="B103">
        <v>2021</v>
      </c>
      <c r="C103" t="s">
        <v>35</v>
      </c>
      <c r="D103">
        <v>162.5</v>
      </c>
      <c r="E103" s="14">
        <f t="shared" si="2"/>
        <v>7.0487483530961708</v>
      </c>
    </row>
    <row r="104" spans="1:5" x14ac:dyDescent="0.25">
      <c r="A104" t="s">
        <v>29</v>
      </c>
      <c r="B104">
        <v>2021</v>
      </c>
      <c r="C104" t="s">
        <v>36</v>
      </c>
      <c r="D104">
        <v>163.19999999999999</v>
      </c>
      <c r="E104" s="14">
        <f t="shared" si="2"/>
        <v>6.0428849902534001</v>
      </c>
    </row>
    <row r="105" spans="1:5" x14ac:dyDescent="0.25">
      <c r="A105" t="s">
        <v>29</v>
      </c>
      <c r="B105">
        <v>2021</v>
      </c>
      <c r="C105" t="s">
        <v>37</v>
      </c>
      <c r="D105">
        <v>163.19999999999999</v>
      </c>
      <c r="E105" s="14">
        <f t="shared" si="2"/>
        <v>5.4945054945054954</v>
      </c>
    </row>
    <row r="106" spans="1:5" x14ac:dyDescent="0.25">
      <c r="A106" t="s">
        <v>29</v>
      </c>
      <c r="B106">
        <v>2021</v>
      </c>
      <c r="C106" t="s">
        <v>38</v>
      </c>
      <c r="D106">
        <v>165.5</v>
      </c>
      <c r="E106" s="14">
        <f t="shared" si="2"/>
        <v>5.8184143222506357</v>
      </c>
    </row>
    <row r="107" spans="1:5" x14ac:dyDescent="0.25">
      <c r="A107" t="s">
        <v>29</v>
      </c>
      <c r="B107">
        <v>2021</v>
      </c>
      <c r="C107" t="s">
        <v>40</v>
      </c>
      <c r="D107">
        <v>166.7</v>
      </c>
      <c r="E107" s="14">
        <f t="shared" si="2"/>
        <v>5.239898989898979</v>
      </c>
    </row>
    <row r="108" spans="1:5" x14ac:dyDescent="0.25">
      <c r="A108" t="s">
        <v>29</v>
      </c>
      <c r="B108">
        <v>2021</v>
      </c>
      <c r="C108" t="s">
        <v>41</v>
      </c>
      <c r="D108">
        <v>166.2</v>
      </c>
      <c r="E108" s="14">
        <f t="shared" si="2"/>
        <v>4.5940843297671385</v>
      </c>
    </row>
    <row r="109" spans="1:5" x14ac:dyDescent="0.25">
      <c r="A109" t="s">
        <v>29</v>
      </c>
      <c r="B109">
        <v>2022</v>
      </c>
      <c r="C109" t="s">
        <v>27</v>
      </c>
      <c r="D109">
        <v>165.7</v>
      </c>
      <c r="E109" s="14">
        <f t="shared" si="2"/>
        <v>5.3401144310235074</v>
      </c>
    </row>
    <row r="110" spans="1:5" x14ac:dyDescent="0.25">
      <c r="A110" t="s">
        <v>29</v>
      </c>
      <c r="B110">
        <v>2022</v>
      </c>
      <c r="C110" t="s">
        <v>30</v>
      </c>
      <c r="D110">
        <v>166.1</v>
      </c>
      <c r="E110" s="14">
        <f t="shared" ref="E110:E125" si="3">((D110-D98)/D98)*100</f>
        <v>6.0664112388250322</v>
      </c>
    </row>
    <row r="111" spans="1:5" x14ac:dyDescent="0.25">
      <c r="A111" t="s">
        <v>29</v>
      </c>
      <c r="B111">
        <v>2022</v>
      </c>
      <c r="C111" t="s">
        <v>31</v>
      </c>
      <c r="D111">
        <v>167.7</v>
      </c>
      <c r="E111" s="14">
        <f t="shared" si="3"/>
        <v>6.9515306122448823</v>
      </c>
    </row>
    <row r="112" spans="1:5" x14ac:dyDescent="0.25">
      <c r="A112" t="s">
        <v>29</v>
      </c>
      <c r="B112">
        <v>2022</v>
      </c>
      <c r="C112" t="s">
        <v>32</v>
      </c>
      <c r="D112">
        <v>170.1</v>
      </c>
      <c r="E112" s="14">
        <f t="shared" si="3"/>
        <v>7.7946768060836389</v>
      </c>
    </row>
    <row r="113" spans="1:5" x14ac:dyDescent="0.25">
      <c r="A113" t="s">
        <v>29</v>
      </c>
      <c r="B113">
        <v>2022</v>
      </c>
      <c r="C113" t="s">
        <v>33</v>
      </c>
      <c r="D113">
        <v>171.7</v>
      </c>
      <c r="E113" s="14">
        <f t="shared" si="3"/>
        <v>7.044887780548617</v>
      </c>
    </row>
    <row r="114" spans="1:5" x14ac:dyDescent="0.25">
      <c r="A114" t="s">
        <v>29</v>
      </c>
      <c r="B114">
        <v>2022</v>
      </c>
      <c r="C114" t="s">
        <v>34</v>
      </c>
      <c r="D114">
        <v>172.6</v>
      </c>
      <c r="E114" s="14">
        <f t="shared" si="3"/>
        <v>7.0055796652200755</v>
      </c>
    </row>
    <row r="115" spans="1:5" x14ac:dyDescent="0.25">
      <c r="A115" t="s">
        <v>29</v>
      </c>
      <c r="B115">
        <v>2022</v>
      </c>
      <c r="C115" t="s">
        <v>35</v>
      </c>
      <c r="D115">
        <v>173.4</v>
      </c>
      <c r="E115" s="14">
        <f t="shared" si="3"/>
        <v>6.7076923076923114</v>
      </c>
    </row>
    <row r="116" spans="1:5" x14ac:dyDescent="0.25">
      <c r="A116" t="s">
        <v>29</v>
      </c>
      <c r="B116">
        <v>2022</v>
      </c>
      <c r="C116" t="s">
        <v>36</v>
      </c>
      <c r="D116">
        <v>174.3</v>
      </c>
      <c r="E116" s="14">
        <f t="shared" si="3"/>
        <v>6.8014705882353086</v>
      </c>
    </row>
    <row r="117" spans="1:5" x14ac:dyDescent="0.25">
      <c r="A117" t="s">
        <v>29</v>
      </c>
      <c r="B117">
        <v>2022</v>
      </c>
      <c r="C117" t="s">
        <v>37</v>
      </c>
      <c r="D117">
        <v>175.3</v>
      </c>
      <c r="E117" s="14">
        <f t="shared" si="3"/>
        <v>7.4142156862745239</v>
      </c>
    </row>
    <row r="118" spans="1:5" x14ac:dyDescent="0.25">
      <c r="A118" t="s">
        <v>29</v>
      </c>
      <c r="B118">
        <v>2022</v>
      </c>
      <c r="C118" t="s">
        <v>38</v>
      </c>
      <c r="D118">
        <v>176.7</v>
      </c>
      <c r="E118" s="14">
        <f t="shared" si="3"/>
        <v>6.7673716012084526</v>
      </c>
    </row>
    <row r="119" spans="1:5" x14ac:dyDescent="0.25">
      <c r="A119" t="s">
        <v>29</v>
      </c>
      <c r="B119">
        <v>2022</v>
      </c>
      <c r="C119" t="s">
        <v>40</v>
      </c>
      <c r="D119">
        <v>176.5</v>
      </c>
      <c r="E119" s="14">
        <f t="shared" si="3"/>
        <v>5.8788242351529769</v>
      </c>
    </row>
    <row r="120" spans="1:5" x14ac:dyDescent="0.25">
      <c r="A120" t="s">
        <v>29</v>
      </c>
      <c r="B120">
        <v>2022</v>
      </c>
      <c r="C120" t="s">
        <v>41</v>
      </c>
      <c r="D120">
        <v>175.7</v>
      </c>
      <c r="E120" s="14">
        <f t="shared" si="3"/>
        <v>5.7160048134777384</v>
      </c>
    </row>
    <row r="121" spans="1:5" x14ac:dyDescent="0.25">
      <c r="A121" t="s">
        <v>29</v>
      </c>
      <c r="B121">
        <v>2023</v>
      </c>
      <c r="C121" t="s">
        <v>27</v>
      </c>
      <c r="D121">
        <v>176.5</v>
      </c>
      <c r="E121" s="14">
        <f t="shared" si="3"/>
        <v>6.5178032589016377</v>
      </c>
    </row>
    <row r="122" spans="1:5" x14ac:dyDescent="0.25">
      <c r="A122" t="s">
        <v>29</v>
      </c>
      <c r="B122">
        <v>2023</v>
      </c>
      <c r="C122" t="s">
        <v>30</v>
      </c>
      <c r="D122">
        <v>177.2</v>
      </c>
      <c r="E122" s="14">
        <f t="shared" si="3"/>
        <v>6.6827212522576733</v>
      </c>
    </row>
    <row r="123" spans="1:5" x14ac:dyDescent="0.25">
      <c r="A123" t="s">
        <v>29</v>
      </c>
      <c r="B123">
        <v>2023</v>
      </c>
      <c r="C123" t="s">
        <v>31</v>
      </c>
      <c r="D123">
        <v>177.2</v>
      </c>
      <c r="E123" s="14">
        <f t="shared" si="3"/>
        <v>5.6648777579010146</v>
      </c>
    </row>
    <row r="124" spans="1:5" x14ac:dyDescent="0.25">
      <c r="A124" t="s">
        <v>29</v>
      </c>
      <c r="B124">
        <v>2023</v>
      </c>
      <c r="C124" t="s">
        <v>32</v>
      </c>
      <c r="D124">
        <v>178.1</v>
      </c>
      <c r="E124" s="14">
        <f t="shared" si="3"/>
        <v>4.7031158142269254</v>
      </c>
    </row>
    <row r="125" spans="1:5" x14ac:dyDescent="0.25">
      <c r="A125" t="s">
        <v>29</v>
      </c>
      <c r="B125">
        <v>2023</v>
      </c>
      <c r="C125" t="s">
        <v>33</v>
      </c>
      <c r="D125">
        <v>179.1</v>
      </c>
      <c r="E125" s="14">
        <f t="shared" si="3"/>
        <v>4.3098427489807838</v>
      </c>
    </row>
  </sheetData>
  <autoFilter ref="A1:E125"/>
  <conditionalFormatting sqref="E50:E1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workbookViewId="0">
      <selection activeCell="J5" sqref="J5"/>
    </sheetView>
  </sheetViews>
  <sheetFormatPr defaultRowHeight="15" x14ac:dyDescent="0.25"/>
  <cols>
    <col min="1" max="1" width="11.85546875" bestFit="1" customWidth="1"/>
    <col min="2" max="2" width="5.42578125" bestFit="1" customWidth="1"/>
    <col min="3" max="3" width="10.85546875" bestFit="1" customWidth="1"/>
    <col min="4" max="4" width="21.5703125" bestFit="1" customWidth="1"/>
    <col min="7" max="7" width="47.7109375" bestFit="1" customWidth="1"/>
  </cols>
  <sheetData>
    <row r="1" spans="1:9" ht="15.75" thickBot="1" x14ac:dyDescent="0.3">
      <c r="A1" s="2" t="s">
        <v>63</v>
      </c>
      <c r="B1" s="2" t="s">
        <v>64</v>
      </c>
      <c r="C1" s="2" t="s">
        <v>65</v>
      </c>
      <c r="D1" s="2" t="s">
        <v>43</v>
      </c>
      <c r="E1" s="1" t="s">
        <v>62</v>
      </c>
    </row>
    <row r="2" spans="1:9" x14ac:dyDescent="0.25">
      <c r="A2" t="s">
        <v>29</v>
      </c>
      <c r="B2">
        <v>2022</v>
      </c>
      <c r="C2" t="s">
        <v>33</v>
      </c>
      <c r="D2">
        <v>2065.6000000000004</v>
      </c>
      <c r="G2" s="21" t="s">
        <v>67</v>
      </c>
    </row>
    <row r="3" spans="1:9" ht="15.75" thickBot="1" x14ac:dyDescent="0.3">
      <c r="A3" t="s">
        <v>29</v>
      </c>
      <c r="B3">
        <v>2022</v>
      </c>
      <c r="C3" t="s">
        <v>34</v>
      </c>
      <c r="D3">
        <v>2087</v>
      </c>
      <c r="E3" s="19">
        <f>((D3-D2)/D2)</f>
        <v>1.0360185902401061E-2</v>
      </c>
      <c r="G3" s="22" t="s">
        <v>66</v>
      </c>
    </row>
    <row r="4" spans="1:9" x14ac:dyDescent="0.25">
      <c r="A4" t="s">
        <v>29</v>
      </c>
      <c r="B4">
        <v>2022</v>
      </c>
      <c r="C4" t="s">
        <v>35</v>
      </c>
      <c r="D4">
        <v>2091.3000000000002</v>
      </c>
      <c r="E4" s="18">
        <f t="shared" ref="E4:E14" si="0">((D4-D3)/D3)</f>
        <v>2.0603737422137912E-3</v>
      </c>
    </row>
    <row r="5" spans="1:9" x14ac:dyDescent="0.25">
      <c r="A5" t="s">
        <v>29</v>
      </c>
      <c r="B5">
        <v>2022</v>
      </c>
      <c r="C5" t="s">
        <v>36</v>
      </c>
      <c r="D5">
        <v>2092.9</v>
      </c>
      <c r="E5" s="18">
        <f t="shared" si="0"/>
        <v>7.6507435566389756E-4</v>
      </c>
    </row>
    <row r="6" spans="1:9" x14ac:dyDescent="0.25">
      <c r="A6" t="s">
        <v>29</v>
      </c>
      <c r="B6">
        <v>2022</v>
      </c>
      <c r="C6" t="s">
        <v>37</v>
      </c>
      <c r="D6">
        <v>2103.1</v>
      </c>
      <c r="E6" s="18">
        <f t="shared" si="0"/>
        <v>4.8736203354196655E-3</v>
      </c>
    </row>
    <row r="7" spans="1:9" x14ac:dyDescent="0.25">
      <c r="A7" t="s">
        <v>29</v>
      </c>
      <c r="B7">
        <v>2022</v>
      </c>
      <c r="C7" t="s">
        <v>38</v>
      </c>
      <c r="D7">
        <v>2117.7000000000003</v>
      </c>
      <c r="E7" s="18">
        <f t="shared" si="0"/>
        <v>6.9421330417005203E-3</v>
      </c>
    </row>
    <row r="8" spans="1:9" x14ac:dyDescent="0.25">
      <c r="A8" t="s">
        <v>29</v>
      </c>
      <c r="B8">
        <v>2022</v>
      </c>
      <c r="C8" t="s">
        <v>40</v>
      </c>
      <c r="D8">
        <v>2118.5</v>
      </c>
      <c r="E8" s="18">
        <f t="shared" si="0"/>
        <v>3.7776833356930966E-4</v>
      </c>
    </row>
    <row r="9" spans="1:9" x14ac:dyDescent="0.25">
      <c r="A9" t="s">
        <v>29</v>
      </c>
      <c r="B9">
        <v>2022</v>
      </c>
      <c r="C9" t="s">
        <v>41</v>
      </c>
      <c r="D9">
        <v>2107.5</v>
      </c>
      <c r="E9" s="18">
        <f t="shared" si="0"/>
        <v>-5.1923530800094403E-3</v>
      </c>
    </row>
    <row r="10" spans="1:9" x14ac:dyDescent="0.25">
      <c r="A10" t="s">
        <v>29</v>
      </c>
      <c r="B10">
        <v>2023</v>
      </c>
      <c r="C10" t="s">
        <v>27</v>
      </c>
      <c r="D10">
        <v>2116</v>
      </c>
      <c r="E10" s="18">
        <f t="shared" si="0"/>
        <v>4.0332147093712929E-3</v>
      </c>
    </row>
    <row r="11" spans="1:9" x14ac:dyDescent="0.25">
      <c r="A11" t="s">
        <v>29</v>
      </c>
      <c r="B11">
        <v>2023</v>
      </c>
      <c r="C11" t="s">
        <v>30</v>
      </c>
      <c r="D11">
        <v>2102.1</v>
      </c>
      <c r="E11" s="20">
        <f t="shared" si="0"/>
        <v>-6.5689981096408749E-3</v>
      </c>
    </row>
    <row r="12" spans="1:9" x14ac:dyDescent="0.25">
      <c r="A12" t="s">
        <v>29</v>
      </c>
      <c r="B12">
        <v>2023</v>
      </c>
      <c r="C12" t="s">
        <v>31</v>
      </c>
      <c r="D12">
        <v>2102.1999999999998</v>
      </c>
      <c r="E12" s="18">
        <f t="shared" si="0"/>
        <v>4.7571476142861449E-5</v>
      </c>
    </row>
    <row r="13" spans="1:9" x14ac:dyDescent="0.25">
      <c r="A13" t="s">
        <v>29</v>
      </c>
      <c r="B13">
        <v>2023</v>
      </c>
      <c r="C13" t="s">
        <v>32</v>
      </c>
      <c r="D13">
        <v>2111.7000000000003</v>
      </c>
      <c r="E13" s="18">
        <f t="shared" si="0"/>
        <v>4.5190752544955071E-3</v>
      </c>
    </row>
    <row r="14" spans="1:9" x14ac:dyDescent="0.25">
      <c r="A14" t="s">
        <v>29</v>
      </c>
      <c r="B14">
        <v>2023</v>
      </c>
      <c r="C14" t="s">
        <v>33</v>
      </c>
      <c r="D14">
        <v>2127.8000000000002</v>
      </c>
      <c r="E14" s="18">
        <f t="shared" si="0"/>
        <v>7.6241890420040287E-3</v>
      </c>
      <c r="I14" s="27" t="s">
        <v>68</v>
      </c>
    </row>
    <row r="17" spans="1:17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  <c r="J17" s="1" t="s">
        <v>9</v>
      </c>
      <c r="K17" s="1" t="s">
        <v>10</v>
      </c>
      <c r="L17" s="1" t="s">
        <v>11</v>
      </c>
      <c r="M17" s="1" t="s">
        <v>12</v>
      </c>
      <c r="N17" s="1" t="s">
        <v>13</v>
      </c>
      <c r="O17" s="1" t="s">
        <v>14</v>
      </c>
      <c r="P17" s="23"/>
      <c r="Q17" s="26"/>
    </row>
    <row r="18" spans="1:17" x14ac:dyDescent="0.25">
      <c r="A18" t="s">
        <v>29</v>
      </c>
      <c r="B18">
        <v>2022</v>
      </c>
      <c r="C18" t="s">
        <v>33</v>
      </c>
      <c r="D18">
        <v>154.1</v>
      </c>
      <c r="E18">
        <v>217</v>
      </c>
      <c r="F18">
        <v>162.4</v>
      </c>
      <c r="G18">
        <v>164.9</v>
      </c>
      <c r="H18">
        <v>202.4</v>
      </c>
      <c r="I18">
        <v>171</v>
      </c>
      <c r="J18">
        <v>174.9</v>
      </c>
      <c r="K18">
        <v>164.7</v>
      </c>
      <c r="L18">
        <v>119.7</v>
      </c>
      <c r="M18">
        <v>184.9</v>
      </c>
      <c r="N18">
        <v>167.1</v>
      </c>
      <c r="O18">
        <v>182.5</v>
      </c>
      <c r="P18" s="24"/>
    </row>
    <row r="19" spans="1:17" x14ac:dyDescent="0.25">
      <c r="A19" t="s">
        <v>29</v>
      </c>
      <c r="B19">
        <v>2022</v>
      </c>
      <c r="C19" t="s">
        <v>34</v>
      </c>
      <c r="D19">
        <v>155</v>
      </c>
      <c r="E19">
        <v>219.4</v>
      </c>
      <c r="F19">
        <v>170.8</v>
      </c>
      <c r="G19">
        <v>165.8</v>
      </c>
      <c r="H19">
        <v>200.9</v>
      </c>
      <c r="I19">
        <v>169.7</v>
      </c>
      <c r="J19">
        <v>182.3</v>
      </c>
      <c r="K19">
        <v>164.3</v>
      </c>
      <c r="L19">
        <v>119.9</v>
      </c>
      <c r="M19">
        <v>187.1</v>
      </c>
      <c r="N19">
        <v>167.9</v>
      </c>
      <c r="O19">
        <v>183.9</v>
      </c>
      <c r="P19" s="24"/>
      <c r="Q19" s="17"/>
    </row>
    <row r="20" spans="1:17" x14ac:dyDescent="0.25">
      <c r="A20" t="s">
        <v>29</v>
      </c>
      <c r="B20">
        <v>2022</v>
      </c>
      <c r="C20" t="s">
        <v>35</v>
      </c>
      <c r="D20">
        <v>156.5</v>
      </c>
      <c r="E20">
        <v>213</v>
      </c>
      <c r="F20">
        <v>175.2</v>
      </c>
      <c r="G20">
        <v>166.6</v>
      </c>
      <c r="H20">
        <v>195.8</v>
      </c>
      <c r="I20">
        <v>174.2</v>
      </c>
      <c r="J20">
        <v>182.1</v>
      </c>
      <c r="K20">
        <v>164.3</v>
      </c>
      <c r="L20">
        <v>120</v>
      </c>
      <c r="M20">
        <v>190</v>
      </c>
      <c r="N20">
        <v>168.4</v>
      </c>
      <c r="O20">
        <v>185.2</v>
      </c>
      <c r="P20" s="24"/>
      <c r="Q20" s="17"/>
    </row>
    <row r="21" spans="1:17" x14ac:dyDescent="0.25">
      <c r="A21" t="s">
        <v>29</v>
      </c>
      <c r="B21">
        <v>2022</v>
      </c>
      <c r="C21" t="s">
        <v>36</v>
      </c>
      <c r="D21">
        <v>160.30000000000001</v>
      </c>
      <c r="E21">
        <v>206.5</v>
      </c>
      <c r="F21">
        <v>169.2</v>
      </c>
      <c r="G21">
        <v>168.1</v>
      </c>
      <c r="H21">
        <v>192.4</v>
      </c>
      <c r="I21">
        <v>172.9</v>
      </c>
      <c r="J21">
        <v>186.7</v>
      </c>
      <c r="K21">
        <v>167.2</v>
      </c>
      <c r="L21">
        <v>120.9</v>
      </c>
      <c r="M21">
        <v>193.6</v>
      </c>
      <c r="N21">
        <v>168.8</v>
      </c>
      <c r="O21">
        <v>186.3</v>
      </c>
      <c r="P21" s="24"/>
      <c r="Q21" s="17"/>
    </row>
    <row r="22" spans="1:17" x14ac:dyDescent="0.25">
      <c r="A22" t="s">
        <v>29</v>
      </c>
      <c r="B22">
        <v>2022</v>
      </c>
      <c r="C22" t="s">
        <v>37</v>
      </c>
      <c r="D22">
        <v>163.5</v>
      </c>
      <c r="E22">
        <v>209.2</v>
      </c>
      <c r="F22">
        <v>169.7</v>
      </c>
      <c r="G22">
        <v>169.7</v>
      </c>
      <c r="H22">
        <v>188.7</v>
      </c>
      <c r="I22">
        <v>165.7</v>
      </c>
      <c r="J22">
        <v>191.8</v>
      </c>
      <c r="K22">
        <v>169.1</v>
      </c>
      <c r="L22">
        <v>121.6</v>
      </c>
      <c r="M22">
        <v>197.3</v>
      </c>
      <c r="N22">
        <v>169.4</v>
      </c>
      <c r="O22">
        <v>187.4</v>
      </c>
      <c r="P22" s="24"/>
      <c r="Q22" s="17"/>
    </row>
    <row r="23" spans="1:17" x14ac:dyDescent="0.25">
      <c r="A23" t="s">
        <v>29</v>
      </c>
      <c r="B23">
        <v>2022</v>
      </c>
      <c r="C23" t="s">
        <v>38</v>
      </c>
      <c r="D23">
        <v>165.2</v>
      </c>
      <c r="E23">
        <v>210.9</v>
      </c>
      <c r="F23">
        <v>170.9</v>
      </c>
      <c r="G23">
        <v>170.9</v>
      </c>
      <c r="H23">
        <v>186.5</v>
      </c>
      <c r="I23">
        <v>163.80000000000001</v>
      </c>
      <c r="J23">
        <v>199.7</v>
      </c>
      <c r="K23">
        <v>169.8</v>
      </c>
      <c r="L23">
        <v>121.9</v>
      </c>
      <c r="M23">
        <v>199.9</v>
      </c>
      <c r="N23">
        <v>169.9</v>
      </c>
      <c r="O23">
        <v>188.3</v>
      </c>
      <c r="P23" s="24"/>
      <c r="Q23" s="17"/>
    </row>
    <row r="24" spans="1:17" x14ac:dyDescent="0.25">
      <c r="A24" t="s">
        <v>29</v>
      </c>
      <c r="B24">
        <v>2022</v>
      </c>
      <c r="C24" t="s">
        <v>40</v>
      </c>
      <c r="D24">
        <v>167.4</v>
      </c>
      <c r="E24">
        <v>209.4</v>
      </c>
      <c r="F24">
        <v>181.4</v>
      </c>
      <c r="G24">
        <v>172.3</v>
      </c>
      <c r="H24">
        <v>188.9</v>
      </c>
      <c r="I24">
        <v>160.69999999999999</v>
      </c>
      <c r="J24">
        <v>183.1</v>
      </c>
      <c r="K24">
        <v>170.5</v>
      </c>
      <c r="L24">
        <v>122.1</v>
      </c>
      <c r="M24">
        <v>202.8</v>
      </c>
      <c r="N24">
        <v>170.4</v>
      </c>
      <c r="O24">
        <v>189.5</v>
      </c>
      <c r="P24" s="24"/>
      <c r="Q24" s="17"/>
    </row>
    <row r="25" spans="1:17" x14ac:dyDescent="0.25">
      <c r="A25" t="s">
        <v>29</v>
      </c>
      <c r="B25">
        <v>2022</v>
      </c>
      <c r="C25" t="s">
        <v>41</v>
      </c>
      <c r="D25">
        <v>169.2</v>
      </c>
      <c r="E25">
        <v>209</v>
      </c>
      <c r="F25">
        <v>190.2</v>
      </c>
      <c r="G25">
        <v>173.6</v>
      </c>
      <c r="H25">
        <v>188.5</v>
      </c>
      <c r="I25">
        <v>158</v>
      </c>
      <c r="J25">
        <v>159.9</v>
      </c>
      <c r="K25">
        <v>170.8</v>
      </c>
      <c r="L25">
        <v>121.8</v>
      </c>
      <c r="M25">
        <v>205.2</v>
      </c>
      <c r="N25">
        <v>171</v>
      </c>
      <c r="O25">
        <v>190.3</v>
      </c>
      <c r="P25" s="24"/>
      <c r="Q25" s="17"/>
    </row>
    <row r="26" spans="1:17" x14ac:dyDescent="0.25">
      <c r="A26" t="s">
        <v>29</v>
      </c>
      <c r="B26">
        <v>2023</v>
      </c>
      <c r="C26" t="s">
        <v>27</v>
      </c>
      <c r="D26">
        <v>173.8</v>
      </c>
      <c r="E26">
        <v>210.7</v>
      </c>
      <c r="F26">
        <v>194.5</v>
      </c>
      <c r="G26">
        <v>174.6</v>
      </c>
      <c r="H26">
        <v>187.2</v>
      </c>
      <c r="I26">
        <v>158.30000000000001</v>
      </c>
      <c r="J26">
        <v>153.9</v>
      </c>
      <c r="K26">
        <v>170.9</v>
      </c>
      <c r="L26">
        <v>121.1</v>
      </c>
      <c r="M26">
        <v>208.4</v>
      </c>
      <c r="N26">
        <v>171.4</v>
      </c>
      <c r="O26">
        <v>191.2</v>
      </c>
      <c r="P26" s="24"/>
      <c r="Q26" s="17"/>
    </row>
    <row r="27" spans="1:17" x14ac:dyDescent="0.25">
      <c r="A27" t="s">
        <v>29</v>
      </c>
      <c r="B27">
        <v>2023</v>
      </c>
      <c r="C27" t="s">
        <v>30</v>
      </c>
      <c r="D27">
        <v>174.4</v>
      </c>
      <c r="E27">
        <v>207.7</v>
      </c>
      <c r="F27">
        <v>175.2</v>
      </c>
      <c r="G27">
        <v>177.3</v>
      </c>
      <c r="H27">
        <v>179.3</v>
      </c>
      <c r="I27">
        <v>169.5</v>
      </c>
      <c r="J27">
        <v>152.69999999999999</v>
      </c>
      <c r="K27">
        <v>171</v>
      </c>
      <c r="L27">
        <v>120</v>
      </c>
      <c r="M27">
        <v>209.7</v>
      </c>
      <c r="N27">
        <v>172.3</v>
      </c>
      <c r="O27">
        <v>193</v>
      </c>
      <c r="P27" s="24"/>
      <c r="Q27" s="17"/>
    </row>
    <row r="28" spans="1:17" x14ac:dyDescent="0.25">
      <c r="A28" t="s">
        <v>29</v>
      </c>
      <c r="B28">
        <v>2023</v>
      </c>
      <c r="C28" t="s">
        <v>31</v>
      </c>
      <c r="D28">
        <v>174.4</v>
      </c>
      <c r="E28">
        <v>207.7</v>
      </c>
      <c r="F28">
        <v>175.2</v>
      </c>
      <c r="G28">
        <v>177.3</v>
      </c>
      <c r="H28">
        <v>179.2</v>
      </c>
      <c r="I28">
        <v>169.5</v>
      </c>
      <c r="J28">
        <v>152.80000000000001</v>
      </c>
      <c r="K28">
        <v>171.1</v>
      </c>
      <c r="L28">
        <v>120</v>
      </c>
      <c r="M28">
        <v>209.7</v>
      </c>
      <c r="N28">
        <v>172.3</v>
      </c>
      <c r="O28">
        <v>193</v>
      </c>
      <c r="P28" s="24"/>
      <c r="Q28" s="17"/>
    </row>
    <row r="29" spans="1:17" x14ac:dyDescent="0.25">
      <c r="A29" t="s">
        <v>29</v>
      </c>
      <c r="B29">
        <v>2023</v>
      </c>
      <c r="C29" t="s">
        <v>32</v>
      </c>
      <c r="D29">
        <v>173.8</v>
      </c>
      <c r="E29">
        <v>209.3</v>
      </c>
      <c r="F29">
        <v>169.6</v>
      </c>
      <c r="G29">
        <v>178.4</v>
      </c>
      <c r="H29">
        <v>174.9</v>
      </c>
      <c r="I29">
        <v>176.3</v>
      </c>
      <c r="J29">
        <v>155.4</v>
      </c>
      <c r="K29">
        <v>173.4</v>
      </c>
      <c r="L29">
        <v>121.3</v>
      </c>
      <c r="M29">
        <v>212.9</v>
      </c>
      <c r="N29">
        <v>172.9</v>
      </c>
      <c r="O29">
        <v>193.5</v>
      </c>
      <c r="P29" s="24"/>
      <c r="Q29" s="17"/>
    </row>
    <row r="30" spans="1:17" x14ac:dyDescent="0.25">
      <c r="A30" t="s">
        <v>29</v>
      </c>
      <c r="B30">
        <v>2023</v>
      </c>
      <c r="C30" t="s">
        <v>33</v>
      </c>
      <c r="D30">
        <v>173.7</v>
      </c>
      <c r="E30">
        <v>214.3</v>
      </c>
      <c r="F30">
        <v>173.2</v>
      </c>
      <c r="G30">
        <v>179.5</v>
      </c>
      <c r="H30">
        <v>170</v>
      </c>
      <c r="I30">
        <v>172.2</v>
      </c>
      <c r="J30">
        <v>161</v>
      </c>
      <c r="K30">
        <v>175.6</v>
      </c>
      <c r="L30">
        <v>122.7</v>
      </c>
      <c r="M30">
        <v>218</v>
      </c>
      <c r="N30">
        <v>173.4</v>
      </c>
      <c r="O30">
        <v>194.2</v>
      </c>
      <c r="P30" s="25"/>
      <c r="Q30" s="17"/>
    </row>
    <row r="32" spans="1:17" x14ac:dyDescent="0.25">
      <c r="D32" s="2">
        <f>D30-D19</f>
        <v>18.699999999999989</v>
      </c>
      <c r="E32" s="2">
        <f t="shared" ref="E32:O32" si="1">E30-E19</f>
        <v>-5.0999999999999943</v>
      </c>
      <c r="F32" s="2">
        <f t="shared" si="1"/>
        <v>2.3999999999999773</v>
      </c>
      <c r="G32" s="2">
        <f t="shared" si="1"/>
        <v>13.699999999999989</v>
      </c>
      <c r="H32" s="2">
        <f t="shared" si="1"/>
        <v>-30.900000000000006</v>
      </c>
      <c r="I32" s="2">
        <f t="shared" si="1"/>
        <v>2.5</v>
      </c>
      <c r="J32" s="2">
        <f t="shared" si="1"/>
        <v>-21.300000000000011</v>
      </c>
      <c r="K32" s="2">
        <f t="shared" si="1"/>
        <v>11.299999999999983</v>
      </c>
      <c r="L32" s="2">
        <f t="shared" si="1"/>
        <v>2.7999999999999972</v>
      </c>
      <c r="M32" s="2">
        <f t="shared" si="1"/>
        <v>30.900000000000006</v>
      </c>
      <c r="N32" s="2">
        <f t="shared" si="1"/>
        <v>5.5</v>
      </c>
      <c r="O32" s="2">
        <f t="shared" si="1"/>
        <v>10.299999999999983</v>
      </c>
    </row>
  </sheetData>
  <conditionalFormatting sqref="E3:E14">
    <cfRule type="top10" priority="2" rank="1"/>
  </conditionalFormatting>
  <conditionalFormatting sqref="D32:O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selection activeCell="H4" sqref="H4"/>
    </sheetView>
  </sheetViews>
  <sheetFormatPr defaultRowHeight="15" x14ac:dyDescent="0.25"/>
  <cols>
    <col min="1" max="1" width="11.85546875" bestFit="1" customWidth="1"/>
    <col min="2" max="2" width="5" bestFit="1" customWidth="1"/>
    <col min="3" max="3" width="7" bestFit="1" customWidth="1"/>
    <col min="4" max="4" width="21.7109375" bestFit="1" customWidth="1"/>
    <col min="5" max="5" width="6.85546875" bestFit="1" customWidth="1"/>
    <col min="6" max="6" width="28.140625" bestFit="1" customWidth="1"/>
    <col min="7" max="8" width="28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43</v>
      </c>
      <c r="E1" s="1" t="s">
        <v>20</v>
      </c>
      <c r="F1" s="1" t="s">
        <v>19</v>
      </c>
      <c r="G1" s="1"/>
      <c r="H1" s="1" t="s">
        <v>69</v>
      </c>
      <c r="I1" s="1" t="s">
        <v>70</v>
      </c>
      <c r="J1" s="1" t="s">
        <v>71</v>
      </c>
    </row>
    <row r="2" spans="1:11" x14ac:dyDescent="0.25">
      <c r="A2" t="s">
        <v>29</v>
      </c>
      <c r="B2">
        <v>2019</v>
      </c>
      <c r="C2" t="s">
        <v>31</v>
      </c>
      <c r="D2">
        <v>1624.8000000000002</v>
      </c>
      <c r="E2">
        <v>146.19999999999999</v>
      </c>
      <c r="F2">
        <v>143.80000000000001</v>
      </c>
      <c r="G2" s="1" t="s">
        <v>76</v>
      </c>
      <c r="H2" s="18">
        <f>(D13-D2)/D2</f>
        <v>7.4901526341703467E-2</v>
      </c>
      <c r="I2" s="18">
        <f t="shared" ref="I2:J2" si="0">(E13-E2)/E2</f>
        <v>4.1723666210670474E-2</v>
      </c>
      <c r="J2" s="18">
        <f t="shared" si="0"/>
        <v>1.8080667593880349E-2</v>
      </c>
    </row>
    <row r="3" spans="1:11" x14ac:dyDescent="0.25">
      <c r="A3" t="s">
        <v>29</v>
      </c>
      <c r="B3">
        <v>2019</v>
      </c>
      <c r="C3" t="s">
        <v>33</v>
      </c>
      <c r="D3">
        <v>1651.0000000000002</v>
      </c>
      <c r="E3">
        <v>146.9</v>
      </c>
      <c r="F3">
        <v>143.69999999999999</v>
      </c>
      <c r="G3" s="1" t="s">
        <v>77</v>
      </c>
      <c r="H3" s="18">
        <f>(D25-D13)/D13</f>
        <v>7.79845405095905E-2</v>
      </c>
      <c r="I3" s="18">
        <f t="shared" ref="I3:J3" si="1">(E25-E13)/E13</f>
        <v>6.1720288903479817E-2</v>
      </c>
      <c r="J3" s="18">
        <f t="shared" si="1"/>
        <v>3.2786885245901523E-2</v>
      </c>
      <c r="K3" s="28"/>
    </row>
    <row r="4" spans="1:11" x14ac:dyDescent="0.25">
      <c r="A4" t="s">
        <v>29</v>
      </c>
      <c r="B4">
        <v>2019</v>
      </c>
      <c r="C4" t="s">
        <v>34</v>
      </c>
      <c r="D4">
        <v>1671.4</v>
      </c>
      <c r="E4">
        <v>147.4</v>
      </c>
      <c r="F4">
        <v>143.80000000000001</v>
      </c>
    </row>
    <row r="5" spans="1:11" x14ac:dyDescent="0.25">
      <c r="A5" t="s">
        <v>29</v>
      </c>
      <c r="B5">
        <v>2019</v>
      </c>
      <c r="C5" t="s">
        <v>35</v>
      </c>
      <c r="D5">
        <v>1692.8</v>
      </c>
      <c r="E5">
        <v>147.9</v>
      </c>
      <c r="F5">
        <v>144.19999999999999</v>
      </c>
      <c r="G5" t="s">
        <v>72</v>
      </c>
    </row>
    <row r="6" spans="1:11" x14ac:dyDescent="0.25">
      <c r="A6" t="s">
        <v>29</v>
      </c>
      <c r="B6">
        <v>2019</v>
      </c>
      <c r="C6" t="s">
        <v>36</v>
      </c>
      <c r="D6">
        <v>1700.6</v>
      </c>
      <c r="E6">
        <v>148.5</v>
      </c>
      <c r="F6">
        <v>144.5</v>
      </c>
      <c r="I6" s="1" t="s">
        <v>73</v>
      </c>
    </row>
    <row r="7" spans="1:11" x14ac:dyDescent="0.25">
      <c r="A7" t="s">
        <v>29</v>
      </c>
      <c r="B7">
        <v>2019</v>
      </c>
      <c r="C7" t="s">
        <v>37</v>
      </c>
      <c r="D7">
        <v>1710.6999999999998</v>
      </c>
      <c r="E7">
        <v>149</v>
      </c>
      <c r="F7">
        <v>144.6</v>
      </c>
      <c r="I7" s="1" t="s">
        <v>74</v>
      </c>
    </row>
    <row r="8" spans="1:11" x14ac:dyDescent="0.25">
      <c r="A8" t="s">
        <v>29</v>
      </c>
      <c r="B8">
        <v>2019</v>
      </c>
      <c r="C8" t="s">
        <v>38</v>
      </c>
      <c r="D8">
        <v>1735.9999999999998</v>
      </c>
      <c r="E8">
        <v>149.4</v>
      </c>
      <c r="F8">
        <v>145</v>
      </c>
      <c r="I8" s="1" t="s">
        <v>75</v>
      </c>
    </row>
    <row r="9" spans="1:11" x14ac:dyDescent="0.25">
      <c r="A9" t="s">
        <v>29</v>
      </c>
      <c r="B9">
        <v>2019</v>
      </c>
      <c r="C9" t="s">
        <v>40</v>
      </c>
      <c r="D9">
        <v>1759</v>
      </c>
      <c r="E9">
        <v>149.9</v>
      </c>
      <c r="F9">
        <v>145.30000000000001</v>
      </c>
    </row>
    <row r="10" spans="1:11" x14ac:dyDescent="0.25">
      <c r="A10" t="s">
        <v>29</v>
      </c>
      <c r="B10">
        <v>2019</v>
      </c>
      <c r="C10" t="s">
        <v>41</v>
      </c>
      <c r="D10">
        <v>1791.1000000000001</v>
      </c>
      <c r="E10">
        <v>150.4</v>
      </c>
      <c r="F10">
        <v>145.80000000000001</v>
      </c>
    </row>
    <row r="11" spans="1:11" x14ac:dyDescent="0.25">
      <c r="A11" t="s">
        <v>29</v>
      </c>
      <c r="B11">
        <v>2020</v>
      </c>
      <c r="C11" t="s">
        <v>27</v>
      </c>
      <c r="D11">
        <v>1786.8999999999999</v>
      </c>
      <c r="E11">
        <v>151.19999999999999</v>
      </c>
      <c r="F11">
        <v>146.19999999999999</v>
      </c>
    </row>
    <row r="12" spans="1:11" x14ac:dyDescent="0.25">
      <c r="A12" t="s">
        <v>29</v>
      </c>
      <c r="B12">
        <v>2020</v>
      </c>
      <c r="C12" t="s">
        <v>30</v>
      </c>
      <c r="D12">
        <v>1761.1</v>
      </c>
      <c r="E12">
        <v>151.69999999999999</v>
      </c>
      <c r="F12">
        <v>146.4</v>
      </c>
    </row>
    <row r="13" spans="1:11" x14ac:dyDescent="0.25">
      <c r="A13" t="s">
        <v>29</v>
      </c>
      <c r="B13">
        <v>2020</v>
      </c>
      <c r="C13" t="s">
        <v>31</v>
      </c>
      <c r="D13">
        <v>1746.5</v>
      </c>
      <c r="E13">
        <v>152.30000000000001</v>
      </c>
      <c r="F13">
        <v>146.4</v>
      </c>
    </row>
    <row r="14" spans="1:11" x14ac:dyDescent="0.25">
      <c r="A14" t="s">
        <v>29</v>
      </c>
      <c r="B14">
        <v>2020</v>
      </c>
      <c r="C14" t="s">
        <v>32</v>
      </c>
      <c r="D14">
        <v>1811.85</v>
      </c>
      <c r="E14">
        <v>150.69999999999999</v>
      </c>
      <c r="F14">
        <v>146.4</v>
      </c>
    </row>
    <row r="15" spans="1:11" x14ac:dyDescent="0.25">
      <c r="A15" t="s">
        <v>29</v>
      </c>
      <c r="B15">
        <v>2020</v>
      </c>
      <c r="C15" t="s">
        <v>33</v>
      </c>
      <c r="D15">
        <v>1805.3500000000001</v>
      </c>
      <c r="E15">
        <v>152.55000000000001</v>
      </c>
      <c r="F15">
        <v>146.4</v>
      </c>
    </row>
    <row r="16" spans="1:11" x14ac:dyDescent="0.25">
      <c r="A16" t="s">
        <v>29</v>
      </c>
      <c r="B16">
        <v>2020</v>
      </c>
      <c r="C16" t="s">
        <v>34</v>
      </c>
      <c r="D16">
        <v>1812.8000000000002</v>
      </c>
      <c r="E16">
        <v>154.4</v>
      </c>
      <c r="F16">
        <v>146.4</v>
      </c>
    </row>
    <row r="17" spans="1:6" x14ac:dyDescent="0.25">
      <c r="A17" t="s">
        <v>29</v>
      </c>
      <c r="B17">
        <v>2020</v>
      </c>
      <c r="C17" t="s">
        <v>35</v>
      </c>
      <c r="D17">
        <v>1812.8000000000002</v>
      </c>
      <c r="E17">
        <v>154.4</v>
      </c>
      <c r="F17">
        <v>146.4</v>
      </c>
    </row>
    <row r="18" spans="1:6" x14ac:dyDescent="0.25">
      <c r="A18" t="s">
        <v>29</v>
      </c>
      <c r="B18">
        <v>2020</v>
      </c>
      <c r="C18" t="s">
        <v>36</v>
      </c>
      <c r="D18">
        <v>1838.1999999999998</v>
      </c>
      <c r="E18">
        <v>155</v>
      </c>
      <c r="F18">
        <v>148.4</v>
      </c>
    </row>
    <row r="19" spans="1:6" x14ac:dyDescent="0.25">
      <c r="A19" t="s">
        <v>29</v>
      </c>
      <c r="B19">
        <v>2020</v>
      </c>
      <c r="C19" t="s">
        <v>37</v>
      </c>
      <c r="D19">
        <v>1849</v>
      </c>
      <c r="E19">
        <v>155.6</v>
      </c>
      <c r="F19">
        <v>148.69999999999999</v>
      </c>
    </row>
    <row r="20" spans="1:6" x14ac:dyDescent="0.25">
      <c r="A20" t="s">
        <v>29</v>
      </c>
      <c r="B20">
        <v>2020</v>
      </c>
      <c r="C20" t="s">
        <v>38</v>
      </c>
      <c r="D20">
        <v>1887.2000000000003</v>
      </c>
      <c r="E20">
        <v>156.30000000000001</v>
      </c>
      <c r="F20">
        <v>148.69999999999999</v>
      </c>
    </row>
    <row r="21" spans="1:6" x14ac:dyDescent="0.25">
      <c r="A21" t="s">
        <v>29</v>
      </c>
      <c r="B21">
        <v>2020</v>
      </c>
      <c r="C21" t="s">
        <v>40</v>
      </c>
      <c r="D21">
        <v>1930.9</v>
      </c>
      <c r="E21">
        <v>157.19999999999999</v>
      </c>
      <c r="F21">
        <v>149.19999999999999</v>
      </c>
    </row>
    <row r="22" spans="1:6" x14ac:dyDescent="0.25">
      <c r="A22" t="s">
        <v>29</v>
      </c>
      <c r="B22">
        <v>2020</v>
      </c>
      <c r="C22" t="s">
        <v>41</v>
      </c>
      <c r="D22">
        <v>1943.7</v>
      </c>
      <c r="E22">
        <v>158.30000000000001</v>
      </c>
      <c r="F22">
        <v>149.69999999999999</v>
      </c>
    </row>
    <row r="23" spans="1:6" x14ac:dyDescent="0.25">
      <c r="A23" t="s">
        <v>29</v>
      </c>
      <c r="B23">
        <v>2021</v>
      </c>
      <c r="C23" t="s">
        <v>27</v>
      </c>
      <c r="D23">
        <v>1915.4999999999998</v>
      </c>
      <c r="E23">
        <v>159.30000000000001</v>
      </c>
      <c r="F23">
        <v>150</v>
      </c>
    </row>
    <row r="24" spans="1:6" x14ac:dyDescent="0.25">
      <c r="A24" t="s">
        <v>29</v>
      </c>
      <c r="B24">
        <v>2021</v>
      </c>
      <c r="C24" t="s">
        <v>30</v>
      </c>
      <c r="D24">
        <v>1882.4</v>
      </c>
      <c r="E24">
        <v>161.30000000000001</v>
      </c>
      <c r="F24">
        <v>150.9</v>
      </c>
    </row>
    <row r="25" spans="1:6" x14ac:dyDescent="0.25">
      <c r="A25" t="s">
        <v>29</v>
      </c>
      <c r="B25">
        <v>2021</v>
      </c>
      <c r="C25" t="s">
        <v>31</v>
      </c>
      <c r="D25">
        <v>1882.6999999999998</v>
      </c>
      <c r="E25">
        <v>161.69999999999999</v>
      </c>
      <c r="F25">
        <v>151.19999999999999</v>
      </c>
    </row>
    <row r="26" spans="1:6" x14ac:dyDescent="0.25">
      <c r="A26" t="s">
        <v>29</v>
      </c>
      <c r="B26">
        <v>2021</v>
      </c>
      <c r="C26" t="s">
        <v>32</v>
      </c>
      <c r="D26">
        <v>1906.1</v>
      </c>
      <c r="E26">
        <v>162.30000000000001</v>
      </c>
      <c r="F26">
        <v>151.80000000000001</v>
      </c>
    </row>
    <row r="27" spans="1:6" x14ac:dyDescent="0.25">
      <c r="A27" t="s">
        <v>29</v>
      </c>
      <c r="B27">
        <v>2021</v>
      </c>
      <c r="C27" t="s">
        <v>33</v>
      </c>
      <c r="D27">
        <v>1945.0000000000002</v>
      </c>
      <c r="E27">
        <v>165.8</v>
      </c>
      <c r="F27">
        <v>154.69999999999999</v>
      </c>
    </row>
    <row r="28" spans="1:6" x14ac:dyDescent="0.25">
      <c r="A28" t="s">
        <v>29</v>
      </c>
      <c r="B28">
        <v>2021</v>
      </c>
      <c r="C28" t="s">
        <v>34</v>
      </c>
      <c r="D28">
        <v>1971.3</v>
      </c>
      <c r="E28">
        <v>166.3</v>
      </c>
      <c r="F28">
        <v>154.80000000000001</v>
      </c>
    </row>
    <row r="29" spans="1:6" x14ac:dyDescent="0.25">
      <c r="A29" t="s">
        <v>29</v>
      </c>
      <c r="B29">
        <v>2021</v>
      </c>
      <c r="C29" t="s">
        <v>35</v>
      </c>
      <c r="D29">
        <v>1983.0000000000002</v>
      </c>
      <c r="E29">
        <v>167</v>
      </c>
      <c r="F29">
        <v>155.80000000000001</v>
      </c>
    </row>
    <row r="30" spans="1:6" x14ac:dyDescent="0.25">
      <c r="A30" t="s">
        <v>29</v>
      </c>
      <c r="B30">
        <v>2021</v>
      </c>
      <c r="C30" t="s">
        <v>36</v>
      </c>
      <c r="D30">
        <v>1978.0000000000002</v>
      </c>
      <c r="E30">
        <v>168.4</v>
      </c>
      <c r="F30">
        <v>157.5</v>
      </c>
    </row>
    <row r="31" spans="1:6" x14ac:dyDescent="0.25">
      <c r="A31" t="s">
        <v>29</v>
      </c>
      <c r="B31">
        <v>2021</v>
      </c>
      <c r="C31" t="s">
        <v>37</v>
      </c>
      <c r="D31">
        <v>1978</v>
      </c>
      <c r="E31">
        <v>168.4</v>
      </c>
      <c r="F31">
        <v>157.5</v>
      </c>
    </row>
    <row r="32" spans="1:6" x14ac:dyDescent="0.25">
      <c r="A32" t="s">
        <v>29</v>
      </c>
      <c r="B32">
        <v>2021</v>
      </c>
      <c r="C32" t="s">
        <v>38</v>
      </c>
      <c r="D32">
        <v>2007.8000000000002</v>
      </c>
      <c r="E32">
        <v>169.1</v>
      </c>
      <c r="F32">
        <v>158.4</v>
      </c>
    </row>
    <row r="33" spans="1:6" x14ac:dyDescent="0.25">
      <c r="A33" t="s">
        <v>29</v>
      </c>
      <c r="B33">
        <v>2021</v>
      </c>
      <c r="C33" t="s">
        <v>40</v>
      </c>
      <c r="D33">
        <v>2024.3999999999999</v>
      </c>
      <c r="E33">
        <v>169.9</v>
      </c>
      <c r="F33">
        <v>159.30000000000001</v>
      </c>
    </row>
    <row r="34" spans="1:6" x14ac:dyDescent="0.25">
      <c r="A34" t="s">
        <v>29</v>
      </c>
      <c r="B34">
        <v>2021</v>
      </c>
      <c r="C34" t="s">
        <v>41</v>
      </c>
      <c r="D34">
        <v>2012.7</v>
      </c>
      <c r="E34">
        <v>170.6</v>
      </c>
      <c r="F34">
        <v>160.19999999999999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"/>
  <sheetViews>
    <sheetView tabSelected="1" topLeftCell="D1" workbookViewId="0">
      <selection activeCell="L18" sqref="L18"/>
    </sheetView>
  </sheetViews>
  <sheetFormatPr defaultRowHeight="15" x14ac:dyDescent="0.25"/>
  <cols>
    <col min="1" max="3" width="11.140625" bestFit="1" customWidth="1"/>
    <col min="9" max="9" width="9.140625" style="32"/>
    <col min="16" max="16" width="20" bestFit="1" customWidth="1"/>
    <col min="17" max="17" width="7.140625" customWidth="1"/>
  </cols>
  <sheetData>
    <row r="1" spans="1:17" x14ac:dyDescent="0.25">
      <c r="A1" t="s">
        <v>0</v>
      </c>
      <c r="B1" t="s">
        <v>1</v>
      </c>
      <c r="C1" t="s">
        <v>2</v>
      </c>
      <c r="D1" s="1" t="s">
        <v>43</v>
      </c>
      <c r="E1" s="1" t="s">
        <v>42</v>
      </c>
      <c r="F1" s="1" t="s">
        <v>44</v>
      </c>
      <c r="G1" s="1" t="s">
        <v>45</v>
      </c>
      <c r="H1" s="1" t="s">
        <v>46</v>
      </c>
      <c r="I1" s="33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7" x14ac:dyDescent="0.25">
      <c r="A2" t="s">
        <v>29</v>
      </c>
      <c r="B2">
        <v>2021</v>
      </c>
      <c r="C2" t="s">
        <v>27</v>
      </c>
      <c r="D2">
        <v>1915.4999999999998</v>
      </c>
      <c r="E2">
        <v>157.69999999999999</v>
      </c>
      <c r="F2">
        <v>147.9</v>
      </c>
      <c r="G2">
        <v>301.60000000000002</v>
      </c>
      <c r="H2">
        <v>1103.3</v>
      </c>
      <c r="I2" s="34">
        <v>54.77</v>
      </c>
      <c r="O2" s="29"/>
      <c r="P2" s="29"/>
      <c r="Q2" s="29"/>
    </row>
    <row r="3" spans="1:17" x14ac:dyDescent="0.25">
      <c r="A3" t="s">
        <v>29</v>
      </c>
      <c r="B3">
        <v>2021</v>
      </c>
      <c r="C3" t="s">
        <v>30</v>
      </c>
      <c r="D3">
        <v>1882.4</v>
      </c>
      <c r="E3">
        <v>159.80000000000001</v>
      </c>
      <c r="F3">
        <v>152.4</v>
      </c>
      <c r="G3">
        <v>304.60000000000002</v>
      </c>
      <c r="H3">
        <v>1112.4000000000001</v>
      </c>
      <c r="I3" s="35">
        <v>62.28</v>
      </c>
      <c r="J3" s="18">
        <f>(I3-I2)/I2</f>
        <v>0.1371188606901588</v>
      </c>
      <c r="K3" s="18">
        <f>(D3-D2)/D2</f>
        <v>-1.7280083529104508E-2</v>
      </c>
      <c r="L3" s="18">
        <f t="shared" ref="L3:O3" si="0">(E3-E2)/E2</f>
        <v>1.331642358909336E-2</v>
      </c>
      <c r="M3" s="18">
        <f t="shared" si="0"/>
        <v>3.0425963488843813E-2</v>
      </c>
      <c r="N3" s="18">
        <f t="shared" si="0"/>
        <v>9.9469496021220155E-3</v>
      </c>
      <c r="O3" s="18">
        <f t="shared" si="0"/>
        <v>8.2479833227591202E-3</v>
      </c>
      <c r="P3" s="40" t="s">
        <v>85</v>
      </c>
      <c r="Q3" s="41">
        <f>CORREL($J$3:$J$30,$K$3:$K$30)</f>
        <v>5.1935437702142644E-2</v>
      </c>
    </row>
    <row r="4" spans="1:17" x14ac:dyDescent="0.25">
      <c r="A4" t="s">
        <v>29</v>
      </c>
      <c r="B4">
        <v>2021</v>
      </c>
      <c r="C4" t="s">
        <v>31</v>
      </c>
      <c r="D4">
        <v>1882.6999999999998</v>
      </c>
      <c r="E4">
        <v>159.9</v>
      </c>
      <c r="F4">
        <v>155.5</v>
      </c>
      <c r="G4">
        <v>305.70000000000005</v>
      </c>
      <c r="H4">
        <v>1113.7999999999997</v>
      </c>
      <c r="I4" s="34">
        <v>65.41</v>
      </c>
      <c r="J4" s="18">
        <f t="shared" ref="J4:J30" si="1">(I4-I3)/I3</f>
        <v>5.0256904303147006E-2</v>
      </c>
      <c r="K4" s="18">
        <f t="shared" ref="K4:K30" si="2">(D4-D3)/D3</f>
        <v>1.5937101572446194E-4</v>
      </c>
      <c r="L4" s="18">
        <f t="shared" ref="L4:L30" si="3">(E4-E3)/E3</f>
        <v>6.2578222778469526E-4</v>
      </c>
      <c r="M4" s="18">
        <f t="shared" ref="M4:M30" si="4">(F4-F3)/F3</f>
        <v>2.0341207349081326E-2</v>
      </c>
      <c r="N4" s="18">
        <f t="shared" ref="N4:N30" si="5">(G4-G3)/G3</f>
        <v>3.6112934996717751E-3</v>
      </c>
      <c r="O4" s="18">
        <f t="shared" ref="O4:O30" si="6">(H4-H3)/H3</f>
        <v>1.2585400934912226E-3</v>
      </c>
      <c r="P4" s="42" t="s">
        <v>86</v>
      </c>
      <c r="Q4" s="41">
        <f>CORREL($J$3:$J$30,$L$3:$L$30)</f>
        <v>0.12627534750744884</v>
      </c>
    </row>
    <row r="5" spans="1:17" x14ac:dyDescent="0.25">
      <c r="A5" t="s">
        <v>29</v>
      </c>
      <c r="B5">
        <v>2021</v>
      </c>
      <c r="C5" t="s">
        <v>32</v>
      </c>
      <c r="D5">
        <v>1906.1</v>
      </c>
      <c r="E5">
        <v>161.4</v>
      </c>
      <c r="F5">
        <v>155.6</v>
      </c>
      <c r="G5">
        <v>307.3</v>
      </c>
      <c r="H5">
        <v>1118.4000000000001</v>
      </c>
      <c r="I5" s="35">
        <v>64.81</v>
      </c>
      <c r="J5" s="18">
        <f t="shared" si="1"/>
        <v>-9.1729093410792585E-3</v>
      </c>
      <c r="K5" s="18">
        <f t="shared" si="2"/>
        <v>1.242895841079306E-2</v>
      </c>
      <c r="L5" s="18">
        <f t="shared" si="3"/>
        <v>9.3808630393996239E-3</v>
      </c>
      <c r="M5" s="18">
        <f t="shared" si="4"/>
        <v>6.4308681672022071E-4</v>
      </c>
      <c r="N5" s="18">
        <f t="shared" si="5"/>
        <v>5.2338894340855924E-3</v>
      </c>
      <c r="O5" s="18">
        <f t="shared" si="6"/>
        <v>4.1300053869638758E-3</v>
      </c>
      <c r="P5" s="42" t="s">
        <v>87</v>
      </c>
      <c r="Q5" s="41">
        <f>CORREL($J$3:$J$30,$M$3:$M$30)</f>
        <v>0.12569723411361958</v>
      </c>
    </row>
    <row r="6" spans="1:17" x14ac:dyDescent="0.25">
      <c r="A6" t="s">
        <v>29</v>
      </c>
      <c r="B6">
        <v>2021</v>
      </c>
      <c r="C6" t="s">
        <v>33</v>
      </c>
      <c r="D6">
        <v>1945.0000000000002</v>
      </c>
      <c r="E6">
        <v>161.6</v>
      </c>
      <c r="F6">
        <v>159.4</v>
      </c>
      <c r="G6">
        <v>313.89999999999998</v>
      </c>
      <c r="H6">
        <v>1136.9000000000001</v>
      </c>
      <c r="I6" s="34">
        <v>68.53</v>
      </c>
      <c r="J6" s="18">
        <f t="shared" si="1"/>
        <v>5.7398549606542178E-2</v>
      </c>
      <c r="K6" s="18">
        <f t="shared" si="2"/>
        <v>2.0408163265306291E-2</v>
      </c>
      <c r="L6" s="18">
        <f t="shared" si="3"/>
        <v>1.2391573729862988E-3</v>
      </c>
      <c r="M6" s="18">
        <f t="shared" si="4"/>
        <v>2.4421593830334265E-2</v>
      </c>
      <c r="N6" s="18">
        <f t="shared" si="5"/>
        <v>2.1477383664171706E-2</v>
      </c>
      <c r="O6" s="18">
        <f t="shared" si="6"/>
        <v>1.65414878397711E-2</v>
      </c>
      <c r="P6" s="42" t="s">
        <v>88</v>
      </c>
      <c r="Q6" s="43">
        <f>CORREL($J$3:$J$30,$N$3:$N$30)</f>
        <v>0.15307793940933737</v>
      </c>
    </row>
    <row r="7" spans="1:17" x14ac:dyDescent="0.25">
      <c r="A7" t="s">
        <v>29</v>
      </c>
      <c r="B7">
        <v>2021</v>
      </c>
      <c r="C7" t="s">
        <v>34</v>
      </c>
      <c r="D7">
        <v>1971.3</v>
      </c>
      <c r="E7">
        <v>160.5</v>
      </c>
      <c r="F7">
        <v>159.80000000000001</v>
      </c>
      <c r="G7">
        <v>314</v>
      </c>
      <c r="H7">
        <v>1138</v>
      </c>
      <c r="I7" s="35">
        <v>73.16</v>
      </c>
      <c r="J7" s="18">
        <f t="shared" si="1"/>
        <v>6.7561651831314684E-2</v>
      </c>
      <c r="K7" s="18">
        <f t="shared" si="2"/>
        <v>1.3521850899742789E-2</v>
      </c>
      <c r="L7" s="18">
        <f t="shared" si="3"/>
        <v>-6.8069306930692722E-3</v>
      </c>
      <c r="M7" s="18">
        <f t="shared" si="4"/>
        <v>2.5094102885822186E-3</v>
      </c>
      <c r="N7" s="18">
        <f t="shared" si="5"/>
        <v>3.1857279388347484E-4</v>
      </c>
      <c r="O7" s="18">
        <f t="shared" si="6"/>
        <v>9.6754331955309087E-4</v>
      </c>
      <c r="P7" s="42" t="s">
        <v>89</v>
      </c>
      <c r="Q7" s="41">
        <f>CORREL($J$3:$J$30,$O$3:$O$30)</f>
        <v>8.1184279691599803E-2</v>
      </c>
    </row>
    <row r="8" spans="1:17" x14ac:dyDescent="0.25">
      <c r="A8" t="s">
        <v>29</v>
      </c>
      <c r="B8">
        <v>2021</v>
      </c>
      <c r="C8" t="s">
        <v>35</v>
      </c>
      <c r="D8">
        <v>1983.0000000000002</v>
      </c>
      <c r="E8">
        <v>161.5</v>
      </c>
      <c r="F8">
        <v>160.69999999999999</v>
      </c>
      <c r="G8">
        <v>315.89999999999998</v>
      </c>
      <c r="H8">
        <v>1145.7</v>
      </c>
      <c r="I8" s="34">
        <v>75.17</v>
      </c>
      <c r="J8" s="18">
        <f t="shared" si="1"/>
        <v>2.7474029524330305E-2</v>
      </c>
      <c r="K8" s="18">
        <f t="shared" si="2"/>
        <v>5.9351696849795936E-3</v>
      </c>
      <c r="L8" s="18">
        <f t="shared" si="3"/>
        <v>6.2305295950155761E-3</v>
      </c>
      <c r="M8" s="18">
        <f t="shared" si="4"/>
        <v>5.6320400500624356E-3</v>
      </c>
      <c r="N8" s="18">
        <f t="shared" si="5"/>
        <v>6.0509554140126664E-3</v>
      </c>
      <c r="O8" s="18">
        <f t="shared" si="6"/>
        <v>6.7662565905097062E-3</v>
      </c>
    </row>
    <row r="9" spans="1:17" x14ac:dyDescent="0.25">
      <c r="A9" t="s">
        <v>29</v>
      </c>
      <c r="B9">
        <v>2021</v>
      </c>
      <c r="C9" t="s">
        <v>36</v>
      </c>
      <c r="D9">
        <v>1978.0000000000002</v>
      </c>
      <c r="E9">
        <v>162.1</v>
      </c>
      <c r="F9">
        <v>162.6</v>
      </c>
      <c r="G9">
        <v>319.8</v>
      </c>
      <c r="H9">
        <v>1153.3999999999999</v>
      </c>
      <c r="I9" s="35">
        <v>70.75</v>
      </c>
      <c r="J9" s="18">
        <f t="shared" si="1"/>
        <v>-5.8800053212717862E-2</v>
      </c>
      <c r="K9" s="18">
        <f t="shared" si="2"/>
        <v>-2.5214321734745334E-3</v>
      </c>
      <c r="L9" s="18">
        <f t="shared" si="3"/>
        <v>3.7151702786377356E-3</v>
      </c>
      <c r="M9" s="18">
        <f t="shared" si="4"/>
        <v>1.1823273179838244E-2</v>
      </c>
      <c r="N9" s="18">
        <f t="shared" si="5"/>
        <v>1.2345679012345788E-2</v>
      </c>
      <c r="O9" s="18">
        <f t="shared" si="6"/>
        <v>6.720782054638926E-3</v>
      </c>
    </row>
    <row r="10" spans="1:17" x14ac:dyDescent="0.25">
      <c r="A10" t="s">
        <v>29</v>
      </c>
      <c r="B10">
        <v>2021</v>
      </c>
      <c r="C10" t="s">
        <v>37</v>
      </c>
      <c r="D10">
        <v>1978</v>
      </c>
      <c r="E10">
        <v>162.1</v>
      </c>
      <c r="F10">
        <v>162.6</v>
      </c>
      <c r="G10">
        <v>319.89999999999998</v>
      </c>
      <c r="H10">
        <v>1153.3999999999999</v>
      </c>
      <c r="I10" s="34">
        <v>74.489999999999995</v>
      </c>
      <c r="J10" s="18">
        <f t="shared" si="1"/>
        <v>5.2862190812720776E-2</v>
      </c>
      <c r="K10" s="18">
        <f t="shared" si="2"/>
        <v>-1.1495130204410112E-16</v>
      </c>
      <c r="L10" s="18">
        <f t="shared" si="3"/>
        <v>0</v>
      </c>
      <c r="M10" s="18">
        <f t="shared" si="4"/>
        <v>0</v>
      </c>
      <c r="N10" s="18">
        <f t="shared" si="5"/>
        <v>3.1269543464654747E-4</v>
      </c>
      <c r="O10" s="18">
        <f t="shared" si="6"/>
        <v>0</v>
      </c>
    </row>
    <row r="11" spans="1:17" x14ac:dyDescent="0.25">
      <c r="A11" t="s">
        <v>29</v>
      </c>
      <c r="B11">
        <v>2021</v>
      </c>
      <c r="C11" t="s">
        <v>38</v>
      </c>
      <c r="D11">
        <v>2007.8000000000002</v>
      </c>
      <c r="E11">
        <v>163.6</v>
      </c>
      <c r="F11">
        <v>164.2</v>
      </c>
      <c r="G11">
        <v>322</v>
      </c>
      <c r="H11">
        <v>1159.2</v>
      </c>
      <c r="I11" s="35">
        <v>83.54</v>
      </c>
      <c r="J11" s="18">
        <f t="shared" si="1"/>
        <v>0.12149281782789652</v>
      </c>
      <c r="K11" s="18">
        <f t="shared" si="2"/>
        <v>1.5065722952477342E-2</v>
      </c>
      <c r="L11" s="18">
        <f t="shared" si="3"/>
        <v>9.2535471930906849E-3</v>
      </c>
      <c r="M11" s="18">
        <f t="shared" si="4"/>
        <v>9.8400984009839754E-3</v>
      </c>
      <c r="N11" s="18">
        <f t="shared" si="5"/>
        <v>6.5645514223195466E-3</v>
      </c>
      <c r="O11" s="18">
        <f t="shared" si="6"/>
        <v>5.0286110629444965E-3</v>
      </c>
      <c r="P11" s="44" t="s">
        <v>90</v>
      </c>
    </row>
    <row r="12" spans="1:17" x14ac:dyDescent="0.25">
      <c r="A12" t="s">
        <v>29</v>
      </c>
      <c r="B12">
        <v>2021</v>
      </c>
      <c r="C12" t="s">
        <v>40</v>
      </c>
      <c r="D12">
        <v>2024.3999999999999</v>
      </c>
      <c r="E12">
        <v>164.2</v>
      </c>
      <c r="F12">
        <v>163.9</v>
      </c>
      <c r="G12">
        <v>324.60000000000002</v>
      </c>
      <c r="H12">
        <v>1163.2000000000003</v>
      </c>
      <c r="I12" s="34">
        <v>81.05</v>
      </c>
      <c r="J12" s="18">
        <f t="shared" si="1"/>
        <v>-2.9806080919320192E-2</v>
      </c>
      <c r="K12" s="18">
        <f t="shared" si="2"/>
        <v>8.2677557525648367E-3</v>
      </c>
      <c r="L12" s="18">
        <f t="shared" si="3"/>
        <v>3.6674816625916523E-3</v>
      </c>
      <c r="M12" s="18">
        <f t="shared" si="4"/>
        <v>-1.8270401948841837E-3</v>
      </c>
      <c r="N12" s="18">
        <f t="shared" si="5"/>
        <v>8.0745341614907543E-3</v>
      </c>
      <c r="O12" s="18">
        <f t="shared" si="6"/>
        <v>3.450655624568864E-3</v>
      </c>
    </row>
    <row r="13" spans="1:17" x14ac:dyDescent="0.25">
      <c r="A13" t="s">
        <v>29</v>
      </c>
      <c r="B13">
        <v>2021</v>
      </c>
      <c r="C13" t="s">
        <v>41</v>
      </c>
      <c r="D13">
        <v>2012.7</v>
      </c>
      <c r="E13">
        <v>163.4</v>
      </c>
      <c r="F13">
        <v>164.1</v>
      </c>
      <c r="G13">
        <v>327.2</v>
      </c>
      <c r="H13">
        <v>1166.5</v>
      </c>
      <c r="I13" s="35">
        <v>74.17</v>
      </c>
      <c r="J13" s="18">
        <f t="shared" si="1"/>
        <v>-8.4885872917951827E-2</v>
      </c>
      <c r="K13" s="18">
        <f t="shared" si="2"/>
        <v>-5.7794902193241552E-3</v>
      </c>
      <c r="L13" s="18">
        <f t="shared" si="3"/>
        <v>-4.8721071863579964E-3</v>
      </c>
      <c r="M13" s="18">
        <f t="shared" si="4"/>
        <v>1.2202562538132314E-3</v>
      </c>
      <c r="N13" s="18">
        <f t="shared" si="5"/>
        <v>8.0098582871225062E-3</v>
      </c>
      <c r="O13" s="18">
        <f t="shared" si="6"/>
        <v>2.8370013755155831E-3</v>
      </c>
    </row>
    <row r="14" spans="1:17" x14ac:dyDescent="0.25">
      <c r="A14" t="s">
        <v>29</v>
      </c>
      <c r="B14">
        <v>2022</v>
      </c>
      <c r="C14" t="s">
        <v>27</v>
      </c>
      <c r="D14">
        <v>1997.8</v>
      </c>
      <c r="E14">
        <v>164.5</v>
      </c>
      <c r="F14">
        <v>164.2</v>
      </c>
      <c r="G14">
        <v>330.6</v>
      </c>
      <c r="H14">
        <v>1170.1000000000001</v>
      </c>
      <c r="I14" s="36">
        <v>86.51</v>
      </c>
      <c r="J14" s="18">
        <f t="shared" si="1"/>
        <v>0.16637454496427131</v>
      </c>
      <c r="K14" s="18">
        <f t="shared" si="2"/>
        <v>-7.4029910071049289E-3</v>
      </c>
      <c r="L14" s="18">
        <f t="shared" si="3"/>
        <v>6.7319461444308093E-3</v>
      </c>
      <c r="M14" s="18">
        <f t="shared" si="4"/>
        <v>6.0938452163311586E-4</v>
      </c>
      <c r="N14" s="18">
        <f t="shared" si="5"/>
        <v>1.0391198044009885E-2</v>
      </c>
      <c r="O14" s="18">
        <f t="shared" si="6"/>
        <v>3.0861551650236919E-3</v>
      </c>
    </row>
    <row r="15" spans="1:17" x14ac:dyDescent="0.25">
      <c r="A15" t="s">
        <v>29</v>
      </c>
      <c r="B15">
        <v>2022</v>
      </c>
      <c r="C15" t="s">
        <v>30</v>
      </c>
      <c r="D15">
        <v>1995.0000000000002</v>
      </c>
      <c r="E15">
        <v>165.5</v>
      </c>
      <c r="F15">
        <v>165.7</v>
      </c>
      <c r="G15">
        <v>333.20000000000005</v>
      </c>
      <c r="H15">
        <v>1175.5999999999999</v>
      </c>
      <c r="I15" s="37">
        <v>97.13</v>
      </c>
      <c r="J15" s="18">
        <f t="shared" si="1"/>
        <v>0.1227603745231764</v>
      </c>
      <c r="K15" s="18">
        <f t="shared" si="2"/>
        <v>-1.4015416958653155E-3</v>
      </c>
      <c r="L15" s="18">
        <f t="shared" si="3"/>
        <v>6.0790273556231003E-3</v>
      </c>
      <c r="M15" s="18">
        <f t="shared" si="4"/>
        <v>9.1352009744214372E-3</v>
      </c>
      <c r="N15" s="18">
        <f t="shared" si="5"/>
        <v>7.8644888082275329E-3</v>
      </c>
      <c r="O15" s="18">
        <f t="shared" si="6"/>
        <v>4.7004529527388868E-3</v>
      </c>
    </row>
    <row r="16" spans="1:17" x14ac:dyDescent="0.25">
      <c r="A16" t="s">
        <v>29</v>
      </c>
      <c r="B16">
        <v>2022</v>
      </c>
      <c r="C16" t="s">
        <v>31</v>
      </c>
      <c r="D16">
        <v>2015.8000000000002</v>
      </c>
      <c r="E16">
        <v>165.3</v>
      </c>
      <c r="F16">
        <v>167.2</v>
      </c>
      <c r="G16">
        <v>336.7</v>
      </c>
      <c r="H16">
        <v>1183.9000000000001</v>
      </c>
      <c r="I16" s="36">
        <v>117.25</v>
      </c>
      <c r="J16" s="18">
        <f t="shared" si="1"/>
        <v>0.20714506331720381</v>
      </c>
      <c r="K16" s="18">
        <f t="shared" si="2"/>
        <v>1.0426065162907245E-2</v>
      </c>
      <c r="L16" s="18">
        <f t="shared" si="3"/>
        <v>-1.2084592145014418E-3</v>
      </c>
      <c r="M16" s="18">
        <f t="shared" si="4"/>
        <v>9.0525045262522634E-3</v>
      </c>
      <c r="N16" s="18">
        <f t="shared" si="5"/>
        <v>1.0504201680672096E-2</v>
      </c>
      <c r="O16" s="18">
        <f t="shared" si="6"/>
        <v>7.0602245661791274E-3</v>
      </c>
    </row>
    <row r="17" spans="1:15" x14ac:dyDescent="0.25">
      <c r="A17" t="s">
        <v>29</v>
      </c>
      <c r="B17">
        <v>2022</v>
      </c>
      <c r="C17" t="s">
        <v>32</v>
      </c>
      <c r="D17">
        <v>2043.5000000000002</v>
      </c>
      <c r="E17">
        <v>167</v>
      </c>
      <c r="F17">
        <v>172.2</v>
      </c>
      <c r="G17">
        <v>340.4</v>
      </c>
      <c r="H17">
        <v>1194.6000000000001</v>
      </c>
      <c r="I17" s="37">
        <v>104.58</v>
      </c>
      <c r="J17" s="18">
        <f t="shared" si="1"/>
        <v>-0.10805970149253732</v>
      </c>
      <c r="K17" s="18">
        <f t="shared" si="2"/>
        <v>1.3741442603432902E-2</v>
      </c>
      <c r="L17" s="18">
        <f t="shared" si="3"/>
        <v>1.0284331518451231E-2</v>
      </c>
      <c r="M17" s="18">
        <f t="shared" si="4"/>
        <v>2.9904306220095697E-2</v>
      </c>
      <c r="N17" s="18">
        <f t="shared" si="5"/>
        <v>1.0989010989010955E-2</v>
      </c>
      <c r="O17" s="18">
        <f t="shared" si="6"/>
        <v>9.0379255004646043E-3</v>
      </c>
    </row>
    <row r="18" spans="1:15" x14ac:dyDescent="0.25">
      <c r="A18" t="s">
        <v>29</v>
      </c>
      <c r="B18">
        <v>2022</v>
      </c>
      <c r="C18" t="s">
        <v>33</v>
      </c>
      <c r="D18">
        <v>2065.6000000000004</v>
      </c>
      <c r="E18">
        <v>167.5</v>
      </c>
      <c r="F18">
        <v>174.6</v>
      </c>
      <c r="G18">
        <v>344</v>
      </c>
      <c r="H18">
        <v>1198.5</v>
      </c>
      <c r="I18" s="36">
        <v>113.34</v>
      </c>
      <c r="J18" s="18">
        <f t="shared" si="1"/>
        <v>8.3763625932300675E-2</v>
      </c>
      <c r="K18" s="18">
        <f t="shared" si="2"/>
        <v>1.0814778566185531E-2</v>
      </c>
      <c r="L18" s="18">
        <f t="shared" si="3"/>
        <v>2.9940119760479044E-3</v>
      </c>
      <c r="M18" s="18">
        <f t="shared" si="4"/>
        <v>1.3937282229965191E-2</v>
      </c>
      <c r="N18" s="18">
        <f t="shared" si="5"/>
        <v>1.0575793184488903E-2</v>
      </c>
      <c r="O18" s="18">
        <f t="shared" si="6"/>
        <v>3.2646911099948627E-3</v>
      </c>
    </row>
    <row r="19" spans="1:15" x14ac:dyDescent="0.25">
      <c r="A19" t="s">
        <v>29</v>
      </c>
      <c r="B19">
        <v>2022</v>
      </c>
      <c r="C19" t="s">
        <v>34</v>
      </c>
      <c r="D19">
        <v>2087</v>
      </c>
      <c r="E19">
        <v>166.8</v>
      </c>
      <c r="F19">
        <v>176</v>
      </c>
      <c r="G19">
        <v>347</v>
      </c>
      <c r="H19">
        <v>1201.4000000000001</v>
      </c>
      <c r="I19" s="37">
        <v>122.71</v>
      </c>
      <c r="J19" s="18">
        <f t="shared" si="1"/>
        <v>8.267160755249682E-2</v>
      </c>
      <c r="K19" s="18">
        <f t="shared" si="2"/>
        <v>1.0360185902401061E-2</v>
      </c>
      <c r="L19" s="18">
        <f t="shared" si="3"/>
        <v>-4.1791044776118723E-3</v>
      </c>
      <c r="M19" s="18">
        <f t="shared" si="4"/>
        <v>8.0183276059565042E-3</v>
      </c>
      <c r="N19" s="18">
        <f t="shared" si="5"/>
        <v>8.7209302325581394E-3</v>
      </c>
      <c r="O19" s="18">
        <f t="shared" si="6"/>
        <v>2.4196912807677019E-3</v>
      </c>
    </row>
    <row r="20" spans="1:15" x14ac:dyDescent="0.25">
      <c r="A20" t="s">
        <v>29</v>
      </c>
      <c r="B20">
        <v>2022</v>
      </c>
      <c r="C20" t="s">
        <v>35</v>
      </c>
      <c r="D20">
        <v>2091.3000000000002</v>
      </c>
      <c r="E20">
        <v>167.8</v>
      </c>
      <c r="F20">
        <v>179.6</v>
      </c>
      <c r="G20">
        <v>349.6</v>
      </c>
      <c r="H20">
        <v>1207.0999999999999</v>
      </c>
      <c r="I20" s="36">
        <v>111.93</v>
      </c>
      <c r="J20" s="18">
        <f t="shared" si="1"/>
        <v>-8.7849401026811075E-2</v>
      </c>
      <c r="K20" s="18">
        <f t="shared" si="2"/>
        <v>2.0603737422137912E-3</v>
      </c>
      <c r="L20" s="18">
        <f t="shared" si="3"/>
        <v>5.9952038369304557E-3</v>
      </c>
      <c r="M20" s="18">
        <f t="shared" si="4"/>
        <v>2.0454545454545423E-2</v>
      </c>
      <c r="N20" s="18">
        <f t="shared" si="5"/>
        <v>7.4927953890490569E-3</v>
      </c>
      <c r="O20" s="18">
        <f t="shared" si="6"/>
        <v>4.7444647910769248E-3</v>
      </c>
    </row>
    <row r="21" spans="1:15" x14ac:dyDescent="0.25">
      <c r="A21" t="s">
        <v>29</v>
      </c>
      <c r="B21">
        <v>2022</v>
      </c>
      <c r="C21" t="s">
        <v>36</v>
      </c>
      <c r="D21">
        <v>2092.9</v>
      </c>
      <c r="E21">
        <v>169</v>
      </c>
      <c r="F21">
        <v>178.8</v>
      </c>
      <c r="G21">
        <v>352.2</v>
      </c>
      <c r="H21">
        <v>1212.6000000000001</v>
      </c>
      <c r="I21" s="37">
        <v>100.45</v>
      </c>
      <c r="J21" s="18">
        <f t="shared" si="1"/>
        <v>-0.10256410256410259</v>
      </c>
      <c r="K21" s="18">
        <f t="shared" si="2"/>
        <v>7.6507435566389756E-4</v>
      </c>
      <c r="L21" s="18">
        <f t="shared" si="3"/>
        <v>7.1513706793801465E-3</v>
      </c>
      <c r="M21" s="18">
        <f t="shared" si="4"/>
        <v>-4.4543429844097048E-3</v>
      </c>
      <c r="N21" s="18">
        <f t="shared" si="5"/>
        <v>7.4370709382150053E-3</v>
      </c>
      <c r="O21" s="18">
        <f t="shared" si="6"/>
        <v>4.5563747825368471E-3</v>
      </c>
    </row>
    <row r="22" spans="1:15" x14ac:dyDescent="0.25">
      <c r="A22" t="s">
        <v>29</v>
      </c>
      <c r="B22">
        <v>2022</v>
      </c>
      <c r="C22" t="s">
        <v>37</v>
      </c>
      <c r="D22">
        <v>2103.1</v>
      </c>
      <c r="E22">
        <v>169.5</v>
      </c>
      <c r="F22">
        <v>179.5</v>
      </c>
      <c r="G22">
        <v>355.20000000000005</v>
      </c>
      <c r="H22">
        <v>1217.1000000000001</v>
      </c>
      <c r="I22" s="36">
        <v>89.76</v>
      </c>
      <c r="J22" s="18">
        <f t="shared" si="1"/>
        <v>-0.10642110502737678</v>
      </c>
      <c r="K22" s="18">
        <f t="shared" si="2"/>
        <v>4.8736203354196655E-3</v>
      </c>
      <c r="L22" s="18">
        <f t="shared" si="3"/>
        <v>2.9585798816568047E-3</v>
      </c>
      <c r="M22" s="18">
        <f t="shared" si="4"/>
        <v>3.9149888143176093E-3</v>
      </c>
      <c r="N22" s="18">
        <f t="shared" si="5"/>
        <v>8.5178875638843177E-3</v>
      </c>
      <c r="O22" s="18">
        <f t="shared" si="6"/>
        <v>3.7110341415141014E-3</v>
      </c>
    </row>
    <row r="23" spans="1:15" x14ac:dyDescent="0.25">
      <c r="A23" t="s">
        <v>29</v>
      </c>
      <c r="B23">
        <v>2022</v>
      </c>
      <c r="C23" t="s">
        <v>38</v>
      </c>
      <c r="D23">
        <v>2117.7000000000003</v>
      </c>
      <c r="E23">
        <v>171.2</v>
      </c>
      <c r="F23">
        <v>180.5</v>
      </c>
      <c r="G23">
        <v>357.20000000000005</v>
      </c>
      <c r="H23">
        <v>1222</v>
      </c>
      <c r="I23" s="37">
        <v>93.33</v>
      </c>
      <c r="J23" s="18">
        <f t="shared" si="1"/>
        <v>3.9772727272727196E-2</v>
      </c>
      <c r="K23" s="18">
        <f t="shared" si="2"/>
        <v>6.9421330417005203E-3</v>
      </c>
      <c r="L23" s="18">
        <f t="shared" si="3"/>
        <v>1.0029498525073679E-2</v>
      </c>
      <c r="M23" s="18">
        <f t="shared" si="4"/>
        <v>5.5710306406685237E-3</v>
      </c>
      <c r="N23" s="18">
        <f t="shared" si="5"/>
        <v>5.6306306306306295E-3</v>
      </c>
      <c r="O23" s="18">
        <f t="shared" si="6"/>
        <v>4.0259633555171006E-3</v>
      </c>
    </row>
    <row r="24" spans="1:15" x14ac:dyDescent="0.25">
      <c r="A24" t="s">
        <v>29</v>
      </c>
      <c r="B24">
        <v>2022</v>
      </c>
      <c r="C24" t="s">
        <v>40</v>
      </c>
      <c r="D24">
        <v>2118.5</v>
      </c>
      <c r="E24">
        <v>171.8</v>
      </c>
      <c r="F24">
        <v>181.3</v>
      </c>
      <c r="G24">
        <v>359.29999999999995</v>
      </c>
      <c r="H24">
        <v>1226.9000000000001</v>
      </c>
      <c r="I24" s="36">
        <v>91.42</v>
      </c>
      <c r="J24" s="18">
        <f t="shared" si="1"/>
        <v>-2.0465016607735954E-2</v>
      </c>
      <c r="K24" s="18">
        <f t="shared" si="2"/>
        <v>3.7776833356930966E-4</v>
      </c>
      <c r="L24" s="18">
        <f t="shared" si="3"/>
        <v>3.5046728971963948E-3</v>
      </c>
      <c r="M24" s="18">
        <f t="shared" si="4"/>
        <v>4.4321329639889825E-3</v>
      </c>
      <c r="N24" s="18">
        <f t="shared" si="5"/>
        <v>5.8790593505036641E-3</v>
      </c>
      <c r="O24" s="18">
        <f t="shared" si="6"/>
        <v>4.0098199672668504E-3</v>
      </c>
    </row>
    <row r="25" spans="1:15" x14ac:dyDescent="0.25">
      <c r="A25" t="s">
        <v>29</v>
      </c>
      <c r="B25">
        <v>2022</v>
      </c>
      <c r="C25" t="s">
        <v>41</v>
      </c>
      <c r="D25">
        <v>2107.5</v>
      </c>
      <c r="E25">
        <v>170.7</v>
      </c>
      <c r="F25">
        <v>182</v>
      </c>
      <c r="G25">
        <v>361</v>
      </c>
      <c r="H25">
        <v>1232.7</v>
      </c>
      <c r="I25" s="37">
        <v>80.92</v>
      </c>
      <c r="J25" s="18">
        <f t="shared" si="1"/>
        <v>-0.11485451761102602</v>
      </c>
      <c r="K25" s="18">
        <f t="shared" si="2"/>
        <v>-5.1923530800094403E-3</v>
      </c>
      <c r="L25" s="18">
        <f t="shared" si="3"/>
        <v>-6.4027939464494921E-3</v>
      </c>
      <c r="M25" s="18">
        <f t="shared" si="4"/>
        <v>3.8610038610037982E-3</v>
      </c>
      <c r="N25" s="18">
        <f t="shared" si="5"/>
        <v>4.7314222098526178E-3</v>
      </c>
      <c r="O25" s="18">
        <f t="shared" si="6"/>
        <v>4.7273616431656651E-3</v>
      </c>
    </row>
    <row r="26" spans="1:15" x14ac:dyDescent="0.25">
      <c r="A26" t="s">
        <v>29</v>
      </c>
      <c r="B26">
        <v>2023</v>
      </c>
      <c r="C26" t="s">
        <v>27</v>
      </c>
      <c r="D26">
        <v>2116</v>
      </c>
      <c r="E26">
        <v>172.1</v>
      </c>
      <c r="F26">
        <v>182</v>
      </c>
      <c r="G26">
        <v>362.5</v>
      </c>
      <c r="H26">
        <v>1239.4000000000001</v>
      </c>
      <c r="I26" s="38">
        <v>82.5</v>
      </c>
      <c r="J26" s="18">
        <f t="shared" si="1"/>
        <v>1.9525457241720195E-2</v>
      </c>
      <c r="K26" s="18">
        <f t="shared" si="2"/>
        <v>4.0332147093712929E-3</v>
      </c>
      <c r="L26" s="18">
        <f t="shared" si="3"/>
        <v>8.201523140011751E-3</v>
      </c>
      <c r="M26" s="18">
        <f t="shared" si="4"/>
        <v>0</v>
      </c>
      <c r="N26" s="18">
        <f t="shared" si="5"/>
        <v>4.1551246537396124E-3</v>
      </c>
      <c r="O26" s="18">
        <f t="shared" si="6"/>
        <v>5.4352234931451656E-3</v>
      </c>
    </row>
    <row r="27" spans="1:15" x14ac:dyDescent="0.25">
      <c r="A27" t="s">
        <v>29</v>
      </c>
      <c r="B27">
        <v>2023</v>
      </c>
      <c r="C27" t="s">
        <v>30</v>
      </c>
      <c r="D27">
        <v>2102.1</v>
      </c>
      <c r="E27">
        <v>173.5</v>
      </c>
      <c r="F27">
        <v>182.1</v>
      </c>
      <c r="G27">
        <v>364.9</v>
      </c>
      <c r="H27">
        <v>1248.5999999999999</v>
      </c>
      <c r="I27" s="39">
        <v>82.59</v>
      </c>
      <c r="J27" s="18">
        <f t="shared" si="1"/>
        <v>1.0909090909091322E-3</v>
      </c>
      <c r="K27" s="18">
        <f t="shared" si="2"/>
        <v>-6.5689981096408749E-3</v>
      </c>
      <c r="L27" s="18">
        <f t="shared" si="3"/>
        <v>8.1348053457292614E-3</v>
      </c>
      <c r="M27" s="18">
        <f t="shared" si="4"/>
        <v>5.4945054945051823E-4</v>
      </c>
      <c r="N27" s="18">
        <f t="shared" si="5"/>
        <v>6.6206896551723512E-3</v>
      </c>
      <c r="O27" s="18">
        <f t="shared" si="6"/>
        <v>7.4229465870581067E-3</v>
      </c>
    </row>
    <row r="28" spans="1:15" x14ac:dyDescent="0.25">
      <c r="A28" t="s">
        <v>29</v>
      </c>
      <c r="B28">
        <v>2023</v>
      </c>
      <c r="C28" t="s">
        <v>31</v>
      </c>
      <c r="D28">
        <v>2102.1999999999998</v>
      </c>
      <c r="E28">
        <v>173.5</v>
      </c>
      <c r="F28">
        <v>181.9</v>
      </c>
      <c r="G28">
        <v>364.79999999999995</v>
      </c>
      <c r="H28">
        <v>1248.5999999999999</v>
      </c>
      <c r="I28" s="38">
        <v>78.430000000000007</v>
      </c>
      <c r="J28" s="18">
        <f t="shared" si="1"/>
        <v>-5.0369294103402303E-2</v>
      </c>
      <c r="K28" s="18">
        <f t="shared" si="2"/>
        <v>4.7571476142861449E-5</v>
      </c>
      <c r="L28" s="18">
        <f t="shared" si="3"/>
        <v>0</v>
      </c>
      <c r="M28" s="18">
        <f t="shared" si="4"/>
        <v>-1.0982976386600144E-3</v>
      </c>
      <c r="N28" s="18">
        <f t="shared" si="5"/>
        <v>-2.7404768429713E-4</v>
      </c>
      <c r="O28" s="18">
        <f t="shared" si="6"/>
        <v>0</v>
      </c>
    </row>
    <row r="29" spans="1:15" x14ac:dyDescent="0.25">
      <c r="A29" t="s">
        <v>29</v>
      </c>
      <c r="B29">
        <v>2023</v>
      </c>
      <c r="C29" t="s">
        <v>32</v>
      </c>
      <c r="D29">
        <v>2111.7000000000003</v>
      </c>
      <c r="E29">
        <v>175.2</v>
      </c>
      <c r="F29">
        <v>181.7</v>
      </c>
      <c r="G29">
        <v>366.1</v>
      </c>
      <c r="H29">
        <v>1255.7999999999997</v>
      </c>
      <c r="I29" s="39">
        <v>84.64</v>
      </c>
      <c r="J29" s="18">
        <f t="shared" si="1"/>
        <v>7.917888563049845E-2</v>
      </c>
      <c r="K29" s="18">
        <f t="shared" si="2"/>
        <v>4.5190752544955071E-3</v>
      </c>
      <c r="L29" s="18">
        <f t="shared" si="3"/>
        <v>9.7982708933716921E-3</v>
      </c>
      <c r="M29" s="18">
        <f t="shared" si="4"/>
        <v>-1.0995052226499013E-3</v>
      </c>
      <c r="N29" s="18">
        <f t="shared" si="5"/>
        <v>3.5635964912282578E-3</v>
      </c>
      <c r="O29" s="18">
        <f t="shared" si="6"/>
        <v>5.7664584334453138E-3</v>
      </c>
    </row>
    <row r="30" spans="1:15" x14ac:dyDescent="0.25">
      <c r="A30" t="s">
        <v>29</v>
      </c>
      <c r="B30">
        <v>2023</v>
      </c>
      <c r="C30" t="s">
        <v>33</v>
      </c>
      <c r="D30">
        <v>2127.8000000000002</v>
      </c>
      <c r="E30">
        <v>175.6</v>
      </c>
      <c r="F30">
        <v>182.8</v>
      </c>
      <c r="G30">
        <v>367</v>
      </c>
      <c r="H30">
        <v>1260.2</v>
      </c>
      <c r="I30" s="38">
        <v>75.47</v>
      </c>
      <c r="J30" s="18">
        <f t="shared" si="1"/>
        <v>-0.1083412098298677</v>
      </c>
      <c r="K30" s="18">
        <f t="shared" si="2"/>
        <v>7.6241890420040287E-3</v>
      </c>
      <c r="L30" s="18">
        <f t="shared" si="3"/>
        <v>2.2831050228310826E-3</v>
      </c>
      <c r="M30" s="18">
        <f t="shared" si="4"/>
        <v>6.0539350577876877E-3</v>
      </c>
      <c r="N30" s="18">
        <f t="shared" si="5"/>
        <v>2.4583447145588013E-3</v>
      </c>
      <c r="O30" s="18">
        <f t="shared" si="6"/>
        <v>3.5037426341776711E-3</v>
      </c>
    </row>
    <row r="31" spans="1:15" x14ac:dyDescent="0.25">
      <c r="I31" s="31"/>
    </row>
    <row r="32" spans="1:15" x14ac:dyDescent="0.25">
      <c r="I32" s="30"/>
    </row>
    <row r="33" spans="9:9" x14ac:dyDescent="0.25">
      <c r="I33" s="31"/>
    </row>
    <row r="34" spans="9:9" x14ac:dyDescent="0.25">
      <c r="I34" s="30"/>
    </row>
    <row r="35" spans="9:9" x14ac:dyDescent="0.25">
      <c r="I35" s="31"/>
    </row>
    <row r="36" spans="9:9" x14ac:dyDescent="0.25">
      <c r="I36" s="30"/>
    </row>
    <row r="37" spans="9:9" x14ac:dyDescent="0.25">
      <c r="I3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9412B4-4134-4C09-BBE3-991BF4C1C9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MAIN DATA</vt:lpstr>
      <vt:lpstr>ANSWER 1</vt:lpstr>
      <vt:lpstr>ANSWER 2</vt:lpstr>
      <vt:lpstr>ANSWER 3</vt:lpstr>
      <vt:lpstr>ANSWER 4</vt:lpstr>
      <vt:lpstr>ANSWER 5</vt:lpstr>
      <vt:lpstr>'MAIN DATA'!All_India_Index_Upto_April23__1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2026-06-29T13:54:37Z</dcterms:created>
  <dcterms:modified xsi:type="dcterms:W3CDTF">2026-07-05T09:20:45Z</dcterms:modified>
</cp:coreProperties>
</file>